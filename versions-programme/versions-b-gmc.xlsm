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lavaldti-my.sharepoint.com/personal/phcar16_ulaval_ca/Documents/Documents/departement/direction-de-programme/Grille de cheminement interactive/versions-programme/"/>
    </mc:Choice>
  </mc:AlternateContent>
  <xr:revisionPtr revIDLastSave="4" documentId="8_{BAE2FAE0-D269-4B91-9B5C-442A83AA214D}" xr6:coauthVersionLast="47" xr6:coauthVersionMax="47" xr10:uidLastSave="{A87B3748-6790-4CDC-A462-EF88623C8134}"/>
  <bookViews>
    <workbookView xWindow="-120" yWindow="-120" windowWidth="29040" windowHeight="15720" activeTab="4" xr2:uid="{17F80D45-18B1-49F4-B536-F8CB8AFB3FFD}"/>
  </bookViews>
  <sheets>
    <sheet name="gabarit" sheetId="3" r:id="rId1"/>
    <sheet name="b-gmc-a26" sheetId="2" r:id="rId2"/>
    <sheet name="b-gmc-a25" sheetId="13" r:id="rId3"/>
    <sheet name="b-gmc-a24" sheetId="14" r:id="rId4"/>
    <sheet name="b-gmc-a23" sheetId="15" r:id="rId5"/>
    <sheet name="cours-a26" sheetId="11" r:id="rId6"/>
    <sheet name="couleurs" sheetId="7"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F98" i="11" l="1"/>
  <c r="F97" i="11"/>
  <c r="F94" i="11"/>
  <c r="F93" i="11"/>
  <c r="F92" i="11"/>
  <c r="F91" i="11"/>
  <c r="F90" i="11"/>
  <c r="F89" i="11"/>
  <c r="F85" i="11"/>
  <c r="F84" i="11"/>
  <c r="F83" i="11"/>
  <c r="F82" i="11"/>
  <c r="F81" i="11"/>
  <c r="F80" i="11"/>
  <c r="F79" i="11"/>
  <c r="F78" i="11"/>
  <c r="F77" i="11"/>
  <c r="F76" i="11"/>
  <c r="F75" i="11"/>
  <c r="F74" i="11"/>
  <c r="F73" i="11"/>
  <c r="F72" i="11"/>
  <c r="F71" i="11"/>
  <c r="F70" i="11"/>
  <c r="F69" i="11"/>
  <c r="F68" i="11"/>
  <c r="F67" i="11"/>
  <c r="F66" i="11"/>
  <c r="F65" i="11"/>
  <c r="F64" i="11"/>
  <c r="F63" i="11"/>
  <c r="F62" i="11"/>
  <c r="F61" i="11"/>
  <c r="F60" i="11"/>
  <c r="F59" i="11"/>
  <c r="F58" i="11"/>
  <c r="F57" i="11"/>
  <c r="F56" i="11"/>
  <c r="F55" i="11"/>
  <c r="F54" i="11"/>
  <c r="F53" i="11"/>
  <c r="F52" i="11"/>
  <c r="F51" i="11"/>
  <c r="F50" i="11"/>
  <c r="F49" i="11"/>
  <c r="F48" i="11"/>
  <c r="F47" i="11"/>
  <c r="F46" i="11"/>
  <c r="F45" i="11"/>
  <c r="F44" i="11"/>
  <c r="F43" i="11"/>
  <c r="F42" i="11"/>
  <c r="F41" i="11"/>
  <c r="F40" i="11"/>
  <c r="F39" i="11"/>
  <c r="F38" i="11"/>
  <c r="F37" i="11"/>
  <c r="F36" i="11"/>
  <c r="F35" i="11"/>
  <c r="F34" i="11"/>
  <c r="F33" i="11"/>
  <c r="F32" i="11"/>
  <c r="F31" i="11"/>
  <c r="F30" i="11"/>
  <c r="F29" i="11"/>
  <c r="F28" i="11"/>
  <c r="F27" i="11"/>
  <c r="F26" i="11"/>
  <c r="F25" i="11"/>
  <c r="F24" i="11"/>
  <c r="F23" i="11"/>
  <c r="F22" i="11"/>
  <c r="F21" i="11"/>
  <c r="F20" i="11"/>
  <c r="F19" i="11"/>
  <c r="F18" i="11"/>
  <c r="F17" i="11"/>
  <c r="F16" i="11"/>
  <c r="F15" i="11"/>
  <c r="F14" i="11"/>
  <c r="F13" i="11"/>
  <c r="F12" i="11"/>
  <c r="F11" i="11"/>
  <c r="F10" i="11"/>
  <c r="F9" i="11"/>
  <c r="F8" i="11"/>
  <c r="F7" i="11"/>
  <c r="F6" i="11"/>
  <c r="F5" i="11"/>
  <c r="F4" i="11"/>
  <c r="F3" i="11"/>
  <c r="F2"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9" i="11"/>
  <c r="J90" i="11"/>
  <c r="J91" i="11"/>
  <c r="J92" i="11"/>
  <c r="J93" i="11"/>
  <c r="J94" i="11"/>
  <c r="J97" i="11"/>
  <c r="J98" i="11"/>
  <c r="J2"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D9B52A-2A24-48DA-9B7D-B840362CE02A}" keepAlive="1" name="Requête - cours" description="Connexion à la requête « cours » dans le classeur." type="5" refreshedVersion="7" background="1" saveData="1">
    <dbPr connection="Provider=Microsoft.Mashup.OleDb.1;Data Source=$Workbook$;Location=cours;Extended Properties=&quot;&quot;" command="SELECT * FROM [cours]"/>
  </connection>
  <connection id="2" xr16:uid="{F81CDDCB-5B3B-4A9C-89A1-0846AC38B538}" keepAlive="1" name="Requête - cours (2)" description="Connexion à la requête « cours (2) » dans le classeur." type="5" refreshedVersion="7" background="1" saveData="1">
    <dbPr connection="Provider=Microsoft.Mashup.OleDb.1;Data Source=$Workbook$;Location=&quot;cours (2)&quot;;Extended Properties=&quot;&quot;" command="SELECT * FROM [cours (2)]"/>
  </connection>
  <connection id="3" xr16:uid="{70337EEA-460A-4000-B123-882E1218B2CC}" keepAlive="1" name="Requête - cours (3)" description="Connexion à la requête « cours (3) » dans le classeur." type="5" refreshedVersion="0" background="1" saveData="1">
    <dbPr connection="Provider=Microsoft.Mashup.OleDb.1;Data Source=$Workbook$;Location=&quot;cours (3)&quot;;Extended Properties=&quot;&quot;" command="SELECT * FROM [cours (3)]"/>
  </connection>
  <connection id="4" xr16:uid="{4DDCB4F0-9048-45F1-9406-F51A2B1B068F}" keepAlive="1" name="Requête - cours-old" description="Connexion à la requête « cours-old » dans le classeur." type="5" refreshedVersion="0" background="1" saveData="1">
    <dbPr connection="Provider=Microsoft.Mashup.OleDb.1;Data Source=$Workbook$;Location=cours-old;Extended Properties=&quot;&quot;" command="SELECT * FROM [cours-old]"/>
  </connection>
  <connection id="5" xr16:uid="{2E2D3725-AE9D-4B84-B0E6-F9E757FA3EDF}" keepAlive="1" name="Requête - cours-old (2)" description="Connexion à la requête « cours-old (2) » dans le classeur." type="5" refreshedVersion="7" background="1" saveData="1">
    <dbPr connection="Provider=Microsoft.Mashup.OleDb.1;Data Source=$Workbook$;Location=&quot;cours-old (2)&quot;;Extended Properties=&quot;&quot;" command="SELECT * FROM [cours-old (2)]"/>
  </connection>
</connections>
</file>

<file path=xl/sharedStrings.xml><?xml version="1.0" encoding="utf-8"?>
<sst xmlns="http://schemas.openxmlformats.org/spreadsheetml/2006/main" count="3121" uniqueCount="632">
  <si>
    <t>Introduction à la programmation avec Python</t>
  </si>
  <si>
    <t>Statique des corps rigides</t>
  </si>
  <si>
    <t>Modélisation 3D</t>
  </si>
  <si>
    <t>Matériaux pour l'ingénierie</t>
  </si>
  <si>
    <t>Mathématiques pour l'ingénierie I</t>
  </si>
  <si>
    <t>Introduction à la mécanique des fluides</t>
  </si>
  <si>
    <t>Résistance des matériaux</t>
  </si>
  <si>
    <t>Mathématiques pour l'ingénierie II</t>
  </si>
  <si>
    <t>Analyse numérique pour l'ingénierie</t>
  </si>
  <si>
    <t>Dynamique des corps rigides</t>
  </si>
  <si>
    <t>Ingénierie et conception I</t>
  </si>
  <si>
    <t>Fabrication mécanique</t>
  </si>
  <si>
    <t>GML-4151</t>
  </si>
  <si>
    <t>Activités de formation communes</t>
  </si>
  <si>
    <t>GMC-1001</t>
  </si>
  <si>
    <t>GMC-1024</t>
  </si>
  <si>
    <t>GML-1001</t>
  </si>
  <si>
    <t>MAT-1900</t>
  </si>
  <si>
    <t>GMC-1003</t>
  </si>
  <si>
    <t>GMC-2001</t>
  </si>
  <si>
    <t>MAT-1910</t>
  </si>
  <si>
    <t>MAT-2910</t>
  </si>
  <si>
    <t>GMC-1002</t>
  </si>
  <si>
    <t>Introduction à la thermodynamique</t>
  </si>
  <si>
    <t>GMC-2002</t>
  </si>
  <si>
    <t>Résistance des composantes de machines et des assemblages</t>
  </si>
  <si>
    <t>GMC-2003</t>
  </si>
  <si>
    <t>GMC-2005</t>
  </si>
  <si>
    <t>Dynamique des fluides appliquée</t>
  </si>
  <si>
    <t>GMC-2006</t>
  </si>
  <si>
    <t>Équations aux dérivées partielles en génie mécanique</t>
  </si>
  <si>
    <t>GMC-2024</t>
  </si>
  <si>
    <t>GMC-2008</t>
  </si>
  <si>
    <t>Machines thermiques</t>
  </si>
  <si>
    <t>GMC-2025</t>
  </si>
  <si>
    <t>Ingénierie et conception II</t>
  </si>
  <si>
    <t>GMC-3000</t>
  </si>
  <si>
    <t>Dynamique des vibrations</t>
  </si>
  <si>
    <t>GMC-3002</t>
  </si>
  <si>
    <t>Dynamique de la commande appliquée</t>
  </si>
  <si>
    <t>GMC-3005</t>
  </si>
  <si>
    <t>Transferts thermiques</t>
  </si>
  <si>
    <t>GMC-3009</t>
  </si>
  <si>
    <t>Gestion de projets en ingénierie</t>
  </si>
  <si>
    <t>GMC-3024</t>
  </si>
  <si>
    <t>Ingénierie et conception III</t>
  </si>
  <si>
    <t>STT-1900</t>
  </si>
  <si>
    <t>Méthodes statistiques pour l'ingénierie</t>
  </si>
  <si>
    <t>GMC-2007</t>
  </si>
  <si>
    <t>GMC-3003</t>
  </si>
  <si>
    <t>Éléments de transmission de puissance</t>
  </si>
  <si>
    <t>GMC-3006</t>
  </si>
  <si>
    <t>Introduction à la mesure et à la mécatronique</t>
  </si>
  <si>
    <t>GMC-3025</t>
  </si>
  <si>
    <t>Ingénierie et conception IV</t>
  </si>
  <si>
    <t>GMC-3020</t>
  </si>
  <si>
    <t>Investigation expérimentale en génie mécanique</t>
  </si>
  <si>
    <t>GMC-3034</t>
  </si>
  <si>
    <t>Ingénierie et conception V</t>
  </si>
  <si>
    <t>PHI-2910</t>
  </si>
  <si>
    <t>Génie et développement durable</t>
  </si>
  <si>
    <t>GMC-3035</t>
  </si>
  <si>
    <t>Ingénierie et conception VI</t>
  </si>
  <si>
    <t>PHI-3900</t>
  </si>
  <si>
    <t>Éthique et professionnalisme</t>
  </si>
  <si>
    <t>ECN-4901</t>
  </si>
  <si>
    <t>Analyse économique en ingénierie</t>
  </si>
  <si>
    <t>GMC-1004</t>
  </si>
  <si>
    <t>Pratique du génie mécanique</t>
  </si>
  <si>
    <t>GMC-1005</t>
  </si>
  <si>
    <t>Communication technique et travail en équipe</t>
  </si>
  <si>
    <t>GMN-2900</t>
  </si>
  <si>
    <t>Santé et sécurité en ingénierie I</t>
  </si>
  <si>
    <t>GLO-1901</t>
  </si>
  <si>
    <t>IFT-1903</t>
  </si>
  <si>
    <t>Informatique pour l'ingénierie</t>
  </si>
  <si>
    <t>Cheminement sans concentration</t>
  </si>
  <si>
    <t>GMC-4054</t>
  </si>
  <si>
    <t>Simulations numériques des écoulements industriels</t>
  </si>
  <si>
    <t>GMC-4150</t>
  </si>
  <si>
    <t>Introduction à l'aérodynamique</t>
  </si>
  <si>
    <t>GMC-4151</t>
  </si>
  <si>
    <t>Propulsion aéronautique et spatiale</t>
  </si>
  <si>
    <t>GMC-4350</t>
  </si>
  <si>
    <t>Turbomachines</t>
  </si>
  <si>
    <t>PHY-2100</t>
  </si>
  <si>
    <t>Sciences de l'espace</t>
  </si>
  <si>
    <t>ENT-1000</t>
  </si>
  <si>
    <t>Savoir entreprendre : la passion de créer et d'agir</t>
  </si>
  <si>
    <t>ENT-4020</t>
  </si>
  <si>
    <t>Introduction à l'entrepreneurship technologique</t>
  </si>
  <si>
    <t>GBO-4070</t>
  </si>
  <si>
    <t>Enveloppe du bâtiment</t>
  </si>
  <si>
    <t>GCI-2007</t>
  </si>
  <si>
    <t>Structures métalliques</t>
  </si>
  <si>
    <t>GCI-3001</t>
  </si>
  <si>
    <t>Impacts environnementaux</t>
  </si>
  <si>
    <t>GEL-2003</t>
  </si>
  <si>
    <t>Électrotechnique</t>
  </si>
  <si>
    <t>GEL-4100</t>
  </si>
  <si>
    <t>Commande industrielle</t>
  </si>
  <si>
    <t>GEL-4799</t>
  </si>
  <si>
    <t>Dangers de l'électricité</t>
  </si>
  <si>
    <t>GMC-3012</t>
  </si>
  <si>
    <t>Introduction à la mécanique du bâtiment et aux énergies renouvelables</t>
  </si>
  <si>
    <t>GMC-3015</t>
  </si>
  <si>
    <t>Conception intégrée des systèmes CVAC-R</t>
  </si>
  <si>
    <t>Introduction aux matériaux pour la santé</t>
  </si>
  <si>
    <t>GIN-2010</t>
  </si>
  <si>
    <t>Gestion opérationnelle des systèmes d'entreprise</t>
  </si>
  <si>
    <t>GIN-2110</t>
  </si>
  <si>
    <t>Optimisation des systèmes et des réseaux</t>
  </si>
  <si>
    <t>GIN-3010</t>
  </si>
  <si>
    <t>Conception et implantation des systèmes de production</t>
  </si>
  <si>
    <t>GIN-3110</t>
  </si>
  <si>
    <t>Environnement et cycle de vie des produits</t>
  </si>
  <si>
    <t>GIN-3220</t>
  </si>
  <si>
    <t>Analyse des risques, fiabilité et maintenance</t>
  </si>
  <si>
    <t>GIN-4003</t>
  </si>
  <si>
    <t>Science des données en ingénierie</t>
  </si>
  <si>
    <t>GSO-2105</t>
  </si>
  <si>
    <t>Achat et approvisionnement</t>
  </si>
  <si>
    <t>GSO-3103</t>
  </si>
  <si>
    <t>Ingénierie de la chaîne logistique</t>
  </si>
  <si>
    <t>GMC-4200</t>
  </si>
  <si>
    <t>Automatisation industrielle</t>
  </si>
  <si>
    <t>GMC-4201</t>
  </si>
  <si>
    <t>Ingénierie de la qualité</t>
  </si>
  <si>
    <t>GMC-4202</t>
  </si>
  <si>
    <t>Procédés et développement de produits</t>
  </si>
  <si>
    <t>GIF-4101</t>
  </si>
  <si>
    <t>Introduction à l'apprentissage automatique</t>
  </si>
  <si>
    <t>GLO-2100</t>
  </si>
  <si>
    <t>Algorithmes et structures de données pour l'ingénierie</t>
  </si>
  <si>
    <t>IFT-4102</t>
  </si>
  <si>
    <t>Techniques avancées en intelligence artificielle</t>
  </si>
  <si>
    <t>GMC-4250</t>
  </si>
  <si>
    <t>Mécanique des matériaux composites</t>
  </si>
  <si>
    <t>GML-2007</t>
  </si>
  <si>
    <t>Comportement mécanique et essais des matériaux</t>
  </si>
  <si>
    <t>GML-2251</t>
  </si>
  <si>
    <t>Contrôle non destructif des matériaux</t>
  </si>
  <si>
    <t>GML-3000</t>
  </si>
  <si>
    <t>Soudage des matériaux</t>
  </si>
  <si>
    <t>GEL-1000</t>
  </si>
  <si>
    <t>Circuits</t>
  </si>
  <si>
    <t>GEL-4250</t>
  </si>
  <si>
    <t>Commande des systèmes avancée</t>
  </si>
  <si>
    <t>GIF-1003</t>
  </si>
  <si>
    <t>Programmation avancée en C++ pour l'ingénierie</t>
  </si>
  <si>
    <t>GLO-4001</t>
  </si>
  <si>
    <t>Introduction à la robotique mobile</t>
  </si>
  <si>
    <t>GMC-1300</t>
  </si>
  <si>
    <t>Initiation à la mécatronique</t>
  </si>
  <si>
    <t>GMC-3300</t>
  </si>
  <si>
    <t>Mécatronique appliquée</t>
  </si>
  <si>
    <t>GMC-3351</t>
  </si>
  <si>
    <t>Éléments de robotique</t>
  </si>
  <si>
    <t>MAT-2930</t>
  </si>
  <si>
    <t>Algèbre linéaire appliquée</t>
  </si>
  <si>
    <t>GAE-2005</t>
  </si>
  <si>
    <t>Tracteurs et systèmes hydrauliques</t>
  </si>
  <si>
    <t>GMC-3016</t>
  </si>
  <si>
    <t>Introduction au génie maritime</t>
  </si>
  <si>
    <t>GMC-4048</t>
  </si>
  <si>
    <t>Analyse et synthèse cinématique des mécanismes</t>
  </si>
  <si>
    <t>GMC-4055</t>
  </si>
  <si>
    <t>Simulation numérique en mécanique des structures</t>
  </si>
  <si>
    <t>GMC-4100</t>
  </si>
  <si>
    <t>Commandes hydrauliques et pneumatiques</t>
  </si>
  <si>
    <t>GMC-4351</t>
  </si>
  <si>
    <t>Modélisation et analyse en CAO</t>
  </si>
  <si>
    <t>GMC-3550</t>
  </si>
  <si>
    <t>Projet spécialisé I</t>
  </si>
  <si>
    <t>GMC-3551</t>
  </si>
  <si>
    <t>Projet spécialisé II</t>
  </si>
  <si>
    <t>Robotique</t>
  </si>
  <si>
    <t>GBO-2040</t>
  </si>
  <si>
    <t>Charpentes en bois I</t>
  </si>
  <si>
    <t>GCI-2004</t>
  </si>
  <si>
    <t>Structures de béton</t>
  </si>
  <si>
    <t>GCI-3002</t>
  </si>
  <si>
    <t>Gestion des eaux</t>
  </si>
  <si>
    <t>Cours obligatoires</t>
  </si>
  <si>
    <t>GMC-2580</t>
  </si>
  <si>
    <t>Stage en génie mécanique II</t>
  </si>
  <si>
    <t>Stages</t>
  </si>
  <si>
    <t>Règle 1</t>
  </si>
  <si>
    <t>LAN-GUES</t>
  </si>
  <si>
    <t>Cours de langue selon le résultat VEPT</t>
  </si>
  <si>
    <t>Règle 2</t>
  </si>
  <si>
    <t>Génie du développement durable</t>
  </si>
  <si>
    <t>Profil entrepreneurial</t>
  </si>
  <si>
    <t>ENT-3000</t>
  </si>
  <si>
    <t>ENT-3010</t>
  </si>
  <si>
    <t>ENT-2023</t>
  </si>
  <si>
    <t>Règle 3</t>
  </si>
  <si>
    <t>OPT-ION5</t>
  </si>
  <si>
    <t>Cours à option en génie mécanique</t>
  </si>
  <si>
    <t>OPT-ION1</t>
  </si>
  <si>
    <t>Profil international</t>
  </si>
  <si>
    <t>OPT-ION2</t>
  </si>
  <si>
    <t>OPT-ION3</t>
  </si>
  <si>
    <t>OPT-ION4</t>
  </si>
  <si>
    <t>Cours à option à l'étranger</t>
  </si>
  <si>
    <t>Cours à option à l'étranger ou à l'Université Laval</t>
  </si>
  <si>
    <t>Baccalauréat en génie mécanique</t>
  </si>
  <si>
    <t>Programme:</t>
  </si>
  <si>
    <t>Session d'admission:</t>
  </si>
  <si>
    <t>Chaîne de caractères représentant le nom du programme</t>
  </si>
  <si>
    <t>Chaîne de trois caractères XYZ, où X vaut A, H ou E, et YZ sont deux chiffres indiquant l'année</t>
  </si>
  <si>
    <t>Chaîne de caractères représentant le nom de la règle A</t>
  </si>
  <si>
    <t>Chaîne de huit caractères donnant le code du cours 1 de la règle A</t>
  </si>
  <si>
    <t>Chaîne de caractères représentant le titre du cours 1 de la règle A</t>
  </si>
  <si>
    <t>Nombre entier indiquant le nombre de crédits du cours 1 de la règle A</t>
  </si>
  <si>
    <t>Nombre entier indiquant le nombre maximum de crédits à compléter dans la règle A</t>
  </si>
  <si>
    <t>Chaîne de huit caractères donnant le code du cours 2 de la règle A</t>
  </si>
  <si>
    <t>Chaîne de huit caractères donnant le code du cours 3 de la règle A</t>
  </si>
  <si>
    <t>Chaîne de caractères représentant le titre du cours 2 de la règle A</t>
  </si>
  <si>
    <t>Chaîne de caractères représentant le titre du cours 3 de la règle A</t>
  </si>
  <si>
    <t>Nombre entier indiquant le nombre de crédits du cours 2  de la règle A</t>
  </si>
  <si>
    <t>Nombre entier indiquant le nombre de crédits du cours 3 de la règle A</t>
  </si>
  <si>
    <t>Chaîne de caractères représentant le nom de la règle B</t>
  </si>
  <si>
    <t>Chaîne de huit caractères donnant le code du cours 1 de la règle B</t>
  </si>
  <si>
    <t>Nombre entier indiquant le nombre de crédits du cours 1 de la règle B</t>
  </si>
  <si>
    <t>Chaîne de caractères représentant le nom de la règle C</t>
  </si>
  <si>
    <t>Nombre entier indiquant le nombre maximum de crédits à compléter dans la règle C</t>
  </si>
  <si>
    <t>Nombre entier indiquant le nombre de crédits du cours 1 de la règle C</t>
  </si>
  <si>
    <t>Chaîne de huit caractères donnant le code du cours 1 de la règle C</t>
  </si>
  <si>
    <t>Chaîne de caractères représentant le titre du cours 1 de la règle C</t>
  </si>
  <si>
    <t>Chaîne de caractères représentant le nom de la règle D</t>
  </si>
  <si>
    <t>Nom de la première spécialisation</t>
  </si>
  <si>
    <t>Nombre de crédits  à compléter dans la première spécialisation</t>
  </si>
  <si>
    <t>Nombre entier indiquant le nombre maximum de crédits à compléter dans la règle D</t>
  </si>
  <si>
    <t>Chaîne de huit caractères donnant le code du cours 2 de la règle C</t>
  </si>
  <si>
    <t>Chaîne de caractères représentant le titre du cours 2 de la règle C</t>
  </si>
  <si>
    <t>Nombre entier indiquant le nombre de crédits du cours 2 de la règle C</t>
  </si>
  <si>
    <t>Chaîne de huit caractères donnant le code du cours 1 de la règle D</t>
  </si>
  <si>
    <t>Chaîne de caractères représentant le titre du cours 1 de la règle D</t>
  </si>
  <si>
    <t>Nombre entier indiquant le nombre de crédits du cours 1 de la règle D</t>
  </si>
  <si>
    <t>Chaîne de huit caractères donnant le code du cours 2 de la règle D</t>
  </si>
  <si>
    <t>Chaîne de caractères représentant le titre du cours 2 de la règle D</t>
  </si>
  <si>
    <t>Nombre entier indiquant le nombre de crédits du cours 2  de la règle D</t>
  </si>
  <si>
    <t>Chaîne de huit caractères donnant le code du cours 3 de la règle D</t>
  </si>
  <si>
    <t>Chaîne de caractères représentant le titre du cours 3 de la règle D</t>
  </si>
  <si>
    <t>Nombre entier indiquant le nombre de crédits du cours 3 de la règle D</t>
  </si>
  <si>
    <t>Chaîne de caractères représentant le nom de la règle E</t>
  </si>
  <si>
    <t>Nombre entier indiquant le nombre maximum de crédits à compléter dans la règle E</t>
  </si>
  <si>
    <t>Chaîne de huit caractères donnant le code du cours 1 de la règle E</t>
  </si>
  <si>
    <t>Chaîne de caractères représentant le titre du cours 1 de la règle E</t>
  </si>
  <si>
    <t>Nombre entier indiquant le nombre de crédits du cours 1 de la règle E</t>
  </si>
  <si>
    <t>Nom de la deuxième spécialisation</t>
  </si>
  <si>
    <t>Chaîne de caractères représentant le nom de la règle F</t>
  </si>
  <si>
    <t>Nombre de crédits  à compléter dans la deuxième spécialisation</t>
  </si>
  <si>
    <t>Nombre entier indiquant le nombre maximum de crédits à compléter dans la règle F</t>
  </si>
  <si>
    <t>Chaîne de huit caractères donnant le code du cours 1 de la règle F</t>
  </si>
  <si>
    <t>Chaîne de caractères représentant le titre du cours 1 de la règle F</t>
  </si>
  <si>
    <t>Nombre entier indiquant le nombre de crédits du cours 1 de la règle F</t>
  </si>
  <si>
    <t>Chaîne de caractères représentant le nom de la règle G</t>
  </si>
  <si>
    <t>Nombre entier indiquant le nombre maximum de crédits à compléter dans la règle G</t>
  </si>
  <si>
    <t>Chaîne de huit caractères donnant le code du cours 1 de la règle G</t>
  </si>
  <si>
    <t>Chaîne de huit caractères donnant le code du cours 2 de la règle G</t>
  </si>
  <si>
    <t>Chaîne de huit caractères donnant le code du cours 3 de la règle G</t>
  </si>
  <si>
    <t>Chaîne de caractères représentant le titre du cours 1 de la règle G</t>
  </si>
  <si>
    <t>Chaîne de caractères représentant le titre du cours 2 de la règle G</t>
  </si>
  <si>
    <t>Chaîne de caractères représentant le titre du cours 3 de la règle G</t>
  </si>
  <si>
    <t>Nombre entier indiquant le nombre de crédits du cours 1 de la règle G</t>
  </si>
  <si>
    <t>Nombre entier indiquant le nombre de crédits du cours 2  de la règle G</t>
  </si>
  <si>
    <t>Nombre entier indiquant le nombre de crédits du cours 3 de la règle G</t>
  </si>
  <si>
    <t>Nom de la troisième spécialisation</t>
  </si>
  <si>
    <t>Nombre de crédits  à compléter dans la troisième spécialisation</t>
  </si>
  <si>
    <t>Chaîne de caractères représentant le nom de la règle H</t>
  </si>
  <si>
    <t>Nombre entier indiquant le nombre maximum de crédits à compléter dans la règle H</t>
  </si>
  <si>
    <t>Chaîne de huit caractères donnant le code du cours 1 de la règle H</t>
  </si>
  <si>
    <t>Chaîne de caractères représentant le titre du cours 1 de la règle H</t>
  </si>
  <si>
    <t>Nombre entier indiquant le nombre de crédits du cours 1 de la règle H</t>
  </si>
  <si>
    <t>Chaîne de huit caractères donnant le code du cours 2 de la règle H</t>
  </si>
  <si>
    <t>Chaîne de caractères représentant le titre du cours 2 de la règle H</t>
  </si>
  <si>
    <t>Nombre entier indiquant le nombre de crédits du cours 2  de la règle H</t>
  </si>
  <si>
    <t>Chaîne de caractères représentant le nom de la règle I</t>
  </si>
  <si>
    <t>Nombre entier indiquant le nombre maximum de crédits à compléter dans la règle I</t>
  </si>
  <si>
    <t>Chaîne de huit caractères donnant le code du cours 1 de la règle I</t>
  </si>
  <si>
    <t>Chaîne de caractères représentant le titre du cours 1 de la règle I</t>
  </si>
  <si>
    <t>Nombre entier indiquant le nombre de crédits du cours 1 de la règle I</t>
  </si>
  <si>
    <t>Chaîne de huit caractères donnant le code du cours 2 de la règle I</t>
  </si>
  <si>
    <t>Chaîne de caractères représentant le titre du cours 2 de la règle I</t>
  </si>
  <si>
    <t>Nombre entier indiquant le nombre de crédits du cours 2  de la règle I</t>
  </si>
  <si>
    <t>Chaîne de huit caractères donnant le code du cours 3 de la règle I</t>
  </si>
  <si>
    <t>Chaîne de caractères représentant le titre du cours 3 de la règle I</t>
  </si>
  <si>
    <t>Nombre entier indiquant le nombre de crédits du cours 3 de la règle I</t>
  </si>
  <si>
    <t>Chaîne de caractères représentant le nom de la règle J</t>
  </si>
  <si>
    <t>Nombre entier indiquant le nombre maximum de crédits à compléter dans la règle J</t>
  </si>
  <si>
    <t>Chaîne de huit caractères donnant le code du cours 1 de la règle J</t>
  </si>
  <si>
    <t>Chaîne de caractères représentant le titre du cours 1 de la règle J</t>
  </si>
  <si>
    <t>Nombre entier indiquant le nombre de crédits du cours 1 de la règle J</t>
  </si>
  <si>
    <t>Nombre entier indiquant le nombre minimum de crédits à compléter dans la règle A</t>
  </si>
  <si>
    <t>Nombre entier indiquant le nombre minimum de crédits à compléter dans la règle D</t>
  </si>
  <si>
    <t>Nombre entier indiquant le nombre minimum de crédits à compléter dans la règle H</t>
  </si>
  <si>
    <t>Mon projet entrepreneurial en action 1</t>
  </si>
  <si>
    <t>Mon projet entrepreneurial en action 2</t>
  </si>
  <si>
    <t>Entrepreneuriat technologique</t>
  </si>
  <si>
    <t>A26</t>
  </si>
  <si>
    <t/>
  </si>
  <si>
    <t>Couleurs de l'identité visuelle de l'Université Laval</t>
  </si>
  <si>
    <t>#e30513</t>
  </si>
  <si>
    <t>#ffc103</t>
  </si>
  <si>
    <t>Couleurs secondaires:</t>
  </si>
  <si>
    <t>Couleurs primaires:</t>
  </si>
  <si>
    <t>#0099ff</t>
  </si>
  <si>
    <t>#515151</t>
  </si>
  <si>
    <t>Couleurs tertiaires:</t>
  </si>
  <si>
    <t>#f7a941</t>
  </si>
  <si>
    <t>#51a27e</t>
  </si>
  <si>
    <t>#702e78</t>
  </si>
  <si>
    <t>#7b003d</t>
  </si>
  <si>
    <t>Autres couleurs générées par l'IA pour compléter la palette:</t>
  </si>
  <si>
    <t>#1D3557</t>
  </si>
  <si>
    <t>#5C7FA3</t>
  </si>
  <si>
    <t>#3DB8B5</t>
  </si>
  <si>
    <t>#51A27E</t>
  </si>
  <si>
    <t>#7A8C4A</t>
  </si>
  <si>
    <t>#FFC103</t>
  </si>
  <si>
    <t>#F7A941</t>
  </si>
  <si>
    <t>#D97706</t>
  </si>
  <si>
    <t>#E30513</t>
  </si>
  <si>
    <t>#E76F51</t>
  </si>
  <si>
    <t>#702E78</t>
  </si>
  <si>
    <t>#8C5A7B</t>
  </si>
  <si>
    <t>systèmes mécaniques</t>
  </si>
  <si>
    <t>ingénierie et conception</t>
  </si>
  <si>
    <t>cours de mathématiques</t>
  </si>
  <si>
    <t>cours à option</t>
  </si>
  <si>
    <t>thermofluides</t>
  </si>
  <si>
    <t>mesure, commande</t>
  </si>
  <si>
    <t>cours complémentaires de sciences et génie</t>
  </si>
  <si>
    <t>cours complémentaires de sciences humaines</t>
  </si>
  <si>
    <t>stages</t>
  </si>
  <si>
    <t>sigle</t>
  </si>
  <si>
    <t>titre</t>
  </si>
  <si>
    <t>crédits</t>
  </si>
  <si>
    <t>préalables</t>
  </si>
  <si>
    <t>url</t>
  </si>
  <si>
    <t>titre court</t>
  </si>
  <si>
    <t>couleur</t>
  </si>
  <si>
    <t>https://www.ulaval.ca/etudes/cours/ecn-4901-analyse-economique-en-ingenierie</t>
  </si>
  <si>
    <t>https://www.ulaval.ca/etudes/cours/ent-1000-savoir-entreprendre-la-passion-de-creer-et-dagir</t>
  </si>
  <si>
    <t>https://www.ulaval.ca/etudes/cours/ent-2023-entrepreneuriat-technologique</t>
  </si>
  <si>
    <t>https://www.ulaval.ca/etudes/cours/ent-3000-mon-projet-entrepreneurial-en-action-1</t>
  </si>
  <si>
    <t>https://www.ulaval.ca/etudes/cours/ent-3010-mon-projet-entrepreneurial-en-action-2</t>
  </si>
  <si>
    <t>https://www.ulaval.ca/etudes/cours/ent-4020-introduction-a-lentrepreneurship-technologique</t>
  </si>
  <si>
    <t>FOR-2151 OU GMC-1002</t>
  </si>
  <si>
    <t>https://www.ulaval.ca/etudes/cours/gae-2005-tracteurs-et-systemes-hydrauliques</t>
  </si>
  <si>
    <t>GMC-1001 OU FOR-2151 OU GCI-2000</t>
  </si>
  <si>
    <t>https://www.ulaval.ca/etudes/cours/gbo-2040-charpentes-en-bois-i</t>
  </si>
  <si>
    <t>https://www.ulaval.ca/etudes/cours/gbo-4070-enveloppe-du-batiment</t>
  </si>
  <si>
    <t>( GCI-1000 OU GML-1001 ) ET ( GCI-2001 OU GMC-2001 )</t>
  </si>
  <si>
    <t>https://www.ulaval.ca/etudes/cours/gci-2004-structures-de-beton</t>
  </si>
  <si>
    <t>https://www.ulaval.ca/etudes/cours/gci-2007-structures-metalliques</t>
  </si>
  <si>
    <t>https://www.ulaval.ca/etudes/cours/gci-3001-impacts-environnementaux</t>
  </si>
  <si>
    <t>https://www.ulaval.ca/etudes/cours/gci-3002-gestion-des-eaux</t>
  </si>
  <si>
    <t>MAT-1900 * OU PHY-1002 *</t>
  </si>
  <si>
    <t>https://www.ulaval.ca/etudes/cours/gel-1000-circuits</t>
  </si>
  <si>
    <t>(( GEL-1000 ET GEL-1002 ) OU GPH-2006 OU GMC-3006 ) ET ( GEL-2000 OU GEL-2900 OU GEL-2910 OU PHY-1007 OU GMC-3003 ) ET GEL-4799 *</t>
  </si>
  <si>
    <t>https://www.ulaval.ca/etudes/cours/gel-2003-electrotechnique</t>
  </si>
  <si>
    <t>(( GEL-2005 ET GEL-3003 *) OU GCH-3000 OU GMC-3002 )</t>
  </si>
  <si>
    <t>https://www.ulaval.ca/etudes/cours/gel-4100-commande-industrielle</t>
  </si>
  <si>
    <t>GEL-2005 OU GMC-3002</t>
  </si>
  <si>
    <t>https://www.ulaval.ca/etudes/cours/gel-4250-commande-des-systemes-avancee</t>
  </si>
  <si>
    <t>https://www.ulaval.ca/etudes/cours/gel-4799-dangers-de-lelectricite</t>
  </si>
  <si>
    <t>IFT-1004 OU GLO-1901</t>
  </si>
  <si>
    <t>https://www.ulaval.ca/etudes/cours/gif-1003-programmation-avancee-en-c-pour-lingenierie</t>
  </si>
  <si>
    <t>( GPL-1008 OU MQT-1102 OU STT-1000 OU STT-1900 OU STT-2920 ) ET ( MAT-1200 OU MAT-1903 OU MAT-1910 OU MAT-2930 OU PHY-1001 )</t>
  </si>
  <si>
    <t>https://www.ulaval.ca/etudes/cours/gif-4101-introduction-a-lapprentissage-automatique</t>
  </si>
  <si>
    <t>(( GIN-1500 ET STT-1900 ) OU ( GIN-1500 ET STT-1000 ) OU ( GMC-3009 ET STT-1900 ) OU ( GMC-3009 ET STT-1000 ))</t>
  </si>
  <si>
    <t>https://www.ulaval.ca/etudes/cours/gin-2010-gestion-operationnelle-des-systemes-dentreprise</t>
  </si>
  <si>
    <t>https://www.ulaval.ca/etudes/cours/gin-2110-optimisation-des-systemes-et-des-reseaux</t>
  </si>
  <si>
    <t>https://www.ulaval.ca/etudes/cours/gin-3010-conception-et-implantation-des-systemes-de-production</t>
  </si>
  <si>
    <t>https://www.ulaval.ca/etudes/cours/gin-3110-environnement-et-cycle-de-vie-des-produits</t>
  </si>
  <si>
    <t>https://www.ulaval.ca/etudes/cours/gin-3220-analyse-des-risques-fiabilite-et-maintenance</t>
  </si>
  <si>
    <t>( GLO-1901 OU IFT-1004 OU IFT-1903 ) ET ( STT-1000 OU STT-1900 OU STT-2920 )</t>
  </si>
  <si>
    <t>https://www.ulaval.ca/etudes/cours/gin-4003-science-des-donnees-en-ingenierie</t>
  </si>
  <si>
    <t>https://www.ulaval.ca/etudes/cours/glo-1901-introduction-a-la-programmation-avec-python</t>
  </si>
  <si>
    <t>GIF-1003 OU IFT-1006</t>
  </si>
  <si>
    <t>https://www.ulaval.ca/etudes/cours/glo-2100-algorithmes-et-structures-de-donnees-pour-lingenierie</t>
  </si>
  <si>
    <t>(IFT-1001 OU IFT-1004 OU IFT-1904 OU GLO-1900 OU GLO-1901 ) ET ( STT-1000 OU STT-1900 OU STT-2920 )</t>
  </si>
  <si>
    <t>https://www.ulaval.ca/etudes/cours/glo-4001-introduction-a-la-robotique-mobile</t>
  </si>
  <si>
    <t>https://www.ulaval.ca/etudes/cours/gmc-1001-statique-des-corps-rigides</t>
  </si>
  <si>
    <t>https://www.ulaval.ca/etudes/cours/gmc-1002-introduction-a-la-thermodynamique</t>
  </si>
  <si>
    <t>MAT-1910 * OU PHY-1001 *</t>
  </si>
  <si>
    <t>https://www.ulaval.ca/etudes/cours/gmc-1003-introduction-a-la-mecanique-des-fluides</t>
  </si>
  <si>
    <t>https://www.ulaval.ca/etudes/cours/gmc-1004-pratique-du-genie-mecanique</t>
  </si>
  <si>
    <t>https://www.ulaval.ca/etudes/cours/gmc-1005-communication-technique-et-travail-en-equipe</t>
  </si>
  <si>
    <t>https://www.ulaval.ca/etudes/cours/gmc-1024-modelisation-3d</t>
  </si>
  <si>
    <t>GAE-2010 * OU GLO-1901 * OU IFT-1004 *</t>
  </si>
  <si>
    <t>https://www.ulaval.ca/etudes/cours/gmc-1300-initiation-a-la-mecatronique</t>
  </si>
  <si>
    <t>PHY-1003 OU GMC-1001</t>
  </si>
  <si>
    <t>https://www.ulaval.ca/etudes/cours/gmc-2001-resistance-des-materiaux</t>
  </si>
  <si>
    <t>GMC-2001 OU GCI-1900</t>
  </si>
  <si>
    <t>https://www.ulaval.ca/etudes/cours/gmc-2002-resistance-des-composantes-de-machines-et-des-assemblages</t>
  </si>
  <si>
    <t>GMC-1001 ET MAT-1910 *</t>
  </si>
  <si>
    <t>https://www.ulaval.ca/etudes/cours/gmc-2003-dynamique-des-corps-rigides</t>
  </si>
  <si>
    <t>https://www.ulaval.ca/etudes/cours/gmc-2005-dynamique-des-fluides-appliquee</t>
  </si>
  <si>
    <t>MAT-1910 ET MAT-2910 *</t>
  </si>
  <si>
    <t>https://www.ulaval.ca/etudes/cours/gmc-2006-equations-aux-derivees-partielles-en-genie-mecanique</t>
  </si>
  <si>
    <t>GML-1001 OU GIN-2120</t>
  </si>
  <si>
    <t>https://www.ulaval.ca/etudes/cours/gmc-2007-fabrication-mecanique</t>
  </si>
  <si>
    <t>https://www.ulaval.ca/etudes/cours/gmc-2008-machines-thermiques</t>
  </si>
  <si>
    <t>https://www.ulaval.ca/etudes/cours/gmc-2024-ingenierie-et-conception-i</t>
  </si>
  <si>
    <t>GMC-2024 *</t>
  </si>
  <si>
    <t>https://www.ulaval.ca/etudes/cours/gmc-2025-ingenierie-et-conception-ii</t>
  </si>
  <si>
    <t>https://www.ulaval.ca/etudes/cours/gmc-2580-stage-en-genie-mecanique-ii</t>
  </si>
  <si>
    <t>https://www.ulaval.ca/etudes/cours/gmc-3000-dynamique-des-vibrations</t>
  </si>
  <si>
    <t>GLO-1901 ET ( GMC-3001 OU ( GMC-1003 ET GMC-3000 ))</t>
  </si>
  <si>
    <t>https://www.ulaval.ca/etudes/cours/gmc-3002-dynamique-de-la-commande-appliquee</t>
  </si>
  <si>
    <t>https://www.ulaval.ca/etudes/cours/gmc-3003-elements-de-transmission-de-puissance</t>
  </si>
  <si>
    <t>GMC-1002 ET GMC-2005</t>
  </si>
  <si>
    <t>https://www.ulaval.ca/etudes/cours/gmc-3005-transferts-thermiques</t>
  </si>
  <si>
    <t>GMC-2001 ET GMC-2005 * ET GMC-2006 * ET GMC-3000 *</t>
  </si>
  <si>
    <t>https://www.ulaval.ca/etudes/cours/gmc-3006-introduction-a-la-mesure-et-a-la-mecatronique</t>
  </si>
  <si>
    <t>https://www.ulaval.ca/etudes/cours/gmc-3009-gestion-de-projets-en-ingenierie</t>
  </si>
  <si>
    <t>GMC-3005 *</t>
  </si>
  <si>
    <t>https://www.ulaval.ca/etudes/cours/gmc-3012-introduction-a-la-mecanique-du-batiment-et-aux-energies-renouvelables</t>
  </si>
  <si>
    <t>https://www.ulaval.ca/etudes/cours/gmc-3015-conception-integree-des-systemes-cvac-r</t>
  </si>
  <si>
    <t>https://www.ulaval.ca/etudes/cours/gmc-3016-introduction-au-genie-maritime</t>
  </si>
  <si>
    <t>GMC-2008 ET GMC-3000 ET GMC-3002 ET GMC-3005 ET GMC-3006</t>
  </si>
  <si>
    <t>https://www.ulaval.ca/etudes/cours/gmc-3020-investigation-experimentale-en-genie-mecanique</t>
  </si>
  <si>
    <t>GMC-2024 * ET GML-1001</t>
  </si>
  <si>
    <t>https://www.ulaval.ca/etudes/cours/gmc-3024-ingenierie-et-conception-iii</t>
  </si>
  <si>
    <t>GMC-2025 * ET GMC-3003 * ET GMC-3024 *</t>
  </si>
  <si>
    <t>https://www.ulaval.ca/etudes/cours/gmc-3025-ingenierie-et-conception-iv</t>
  </si>
  <si>
    <t>https://www.ulaval.ca/etudes/cours/gmc-3034-ingenierie-et-conception-v</t>
  </si>
  <si>
    <t>GMC-3034 * ET PHI-3900 *</t>
  </si>
  <si>
    <t>https://www.ulaval.ca/etudes/cours/gmc-3035-ingenierie-et-conception-vi</t>
  </si>
  <si>
    <t>https://www.ulaval.ca/etudes/cours/gmc-3300-mecatronique-appliquee</t>
  </si>
  <si>
    <t>GMC-2003 ET GMC-2006 ET GMC-3002</t>
  </si>
  <si>
    <t>https://www.ulaval.ca/etudes/cours/gmc-3351-elements-de-robotique</t>
  </si>
  <si>
    <t>https://www.ulaval.ca/etudes/cours/gmc-4048-analyse-et-synthese-cinematique-des-mecanismes</t>
  </si>
  <si>
    <t>GMC-2005 ET ( GMC-2006 OU PHY-1004 )</t>
  </si>
  <si>
    <t>https://www.ulaval.ca/etudes/cours/gmc-4054-simulations-numeriques-des-ecoulements-industriels</t>
  </si>
  <si>
    <t>( GMC-1024 OU GMC-1000 ) ET GMC-2002 ET GMC-2006</t>
  </si>
  <si>
    <t>https://www.ulaval.ca/etudes/cours/gmc-4055-simulation-numerique-en-mecanique-des-structures</t>
  </si>
  <si>
    <t>GMC-3002 OU GIN-3080</t>
  </si>
  <si>
    <t>https://www.ulaval.ca/etudes/cours/gmc-4100-commandes-hydrauliques-et-pneumatiques</t>
  </si>
  <si>
    <t>https://www.ulaval.ca/etudes/cours/gmc-4150-introduction-a-laerodynamique</t>
  </si>
  <si>
    <t>GMC-2005 ET GMC-2008</t>
  </si>
  <si>
    <t>https://www.ulaval.ca/etudes/cours/gmc-4151-propulsion-aeronautique-et-spatiale</t>
  </si>
  <si>
    <t>GIN-3030 OU GMC-2007</t>
  </si>
  <si>
    <t>https://www.ulaval.ca/etudes/cours/gmc-4200-automatisation-industrielle</t>
  </si>
  <si>
    <t>GMC-2007 *</t>
  </si>
  <si>
    <t>https://www.ulaval.ca/etudes/cours/gmc-4201-ingenierie-de-la-qualite</t>
  </si>
  <si>
    <t>https://www.ulaval.ca/etudes/cours/gmc-4202-procedes-et-developpement-de-produits</t>
  </si>
  <si>
    <t>( IFT-1903 OU GLO-1901 ) ET ( GMC-2001 OU SBO-2010 OU GBO-1050 OU GBO-4006 OU GCI-1900 )</t>
  </si>
  <si>
    <t>https://www.ulaval.ca/etudes/cours/gmc-4250-mecanique-des-materiaux-composites</t>
  </si>
  <si>
    <t>https://www.ulaval.ca/etudes/cours/gmc-4350-turbomachines</t>
  </si>
  <si>
    <t>GMC-3001 OU GMC-3025</t>
  </si>
  <si>
    <t>https://www.ulaval.ca/etudes/cours/gmc-4351-modelisation-et-analyse-en-cao</t>
  </si>
  <si>
    <t>https://www.ulaval.ca/etudes/cours/gml-1001-materiaux-pour-lingenierie</t>
  </si>
  <si>
    <t>( GCI-1900 OU GMC-2001 ) ET GML-1001</t>
  </si>
  <si>
    <t>https://www.ulaval.ca/etudes/cours/gml-2007-comportement-mecanique-et-essais-des-materiaux</t>
  </si>
  <si>
    <t>https://www.ulaval.ca/etudes/cours/gml-2251-controle-non-destructif-des-materiaux</t>
  </si>
  <si>
    <t>https://www.ulaval.ca/etudes/cours/gml-3000-soudage-des-materiaux</t>
  </si>
  <si>
    <t>https://www.ulaval.ca/etudes/cours/gml-4151-introduction-aux-materiaux-pour-la-sante</t>
  </si>
  <si>
    <t>https://www.ulaval.ca/etudes/cours/gmn-2900-sante-et-securite-en-ingenierie-i</t>
  </si>
  <si>
    <t>GSO-1000 * OU GSO-1001 OU GSO-1100 * OU GIN-2010 *</t>
  </si>
  <si>
    <t>https://www.ulaval.ca/etudes/cours/gso-2105-achat-et-approvisionnement</t>
  </si>
  <si>
    <t>( GSO-1000 OU GSO-1100 OU GIN-2010 *) ET ( MQT-1101 OU GIN-2110 )</t>
  </si>
  <si>
    <t>https://www.ulaval.ca/etudes/cours/gso-3103-ingenierie-de-la-chaine-logistique</t>
  </si>
  <si>
    <t>https://www.ulaval.ca/etudes/cours/ift-1903-informatique-pour-lingenierie</t>
  </si>
  <si>
    <t>(IFT-2000 OU IFT-2900 OU GLO-2100 OU IFT-2008 ) ET ( GPL-1008 OU STT-1000 OU STT-2920 OU STT-1900 OU MQT-1102 )</t>
  </si>
  <si>
    <t>https://www.ulaval.ca/etudes/cours/ift-4102-techniques-avancees-en-intelligence-artificielle</t>
  </si>
  <si>
    <t>https://www.ulaval.ca/etudes/cours/mat-1900-mathematiques-pour-lingenierie-i</t>
  </si>
  <si>
    <t>MAT-1900 OU MAT-1920 *</t>
  </si>
  <si>
    <t>https://www.ulaval.ca/etudes/cours/mat-1910-mathematiques-pour-lingenierie-ii</t>
  </si>
  <si>
    <t>( MAT-1110 OU MAT-1900 OU PHY-1002 ) ET (IFT-1001* OU IFT-1903 * OU GLO-1900* OU GLO-1901 * OU IFT-1904 OU IFT-1004 * OU IFT-1901 * OU GAE-2010 )</t>
  </si>
  <si>
    <t>https://www.ulaval.ca/etudes/cours/mat-2910-analyse-numerique-pour-lingenierie</t>
  </si>
  <si>
    <t>GLO-1901 OU IFT-1004 OU IFT-1903</t>
  </si>
  <si>
    <t>https://www.ulaval.ca/etudes/cours/mat-2930-algebre-lineaire-appliquee</t>
  </si>
  <si>
    <t>https://www.ulaval.ca/etudes/cours/phi-2910-genie-et-developpement-durable</t>
  </si>
  <si>
    <t>https://www.ulaval.ca/etudes/cours/phi-3900-ethique-et-professionnalisme</t>
  </si>
  <si>
    <t>https://www.ulaval.ca/etudes/cours/phy-2100-sciences-de-lespace</t>
  </si>
  <si>
    <t>https://www.ulaval.ca/etudes/cours/stt-1900-methodes-statistiques-pour-lingenierie</t>
  </si>
  <si>
    <t>ENT-1000 ET  Crédits exigés : 21</t>
  </si>
  <si>
    <t>1000 à 4999 Crédits exigés : 60</t>
  </si>
  <si>
    <t>Crédits exigés : 45</t>
  </si>
  <si>
    <t>(GAL, Crédits exigés : 12 OU GIN, Crédits exigés : 24 OU GML, Crédits exigés : 24 OU GMC, Crédits exigés : 24 OU ( GSO-2106 ET GSO-3100 ))</t>
  </si>
  <si>
    <t>Préalables préuniversitaires nécessaires s'il y a lieu : MAT-0130, MAT-0150, MAT-0260* et PHY-0150.</t>
  </si>
  <si>
    <t>GMC-1024 ET  Crédits exigés : 24</t>
  </si>
  <si>
    <t>GMC-1002 ET ( GMC-3001 OU GMC-2025 ) ET  1000 à 4999 Crédits exigés : 42</t>
  </si>
  <si>
    <t>Crédits exigés : 24</t>
  </si>
  <si>
    <t>Crédits exigés : 30</t>
  </si>
  <si>
    <t>(ECN-2901* OU ECN-4901 *) ET GMC-2007 ET GMC-2008 ET GMC-3000 ET GMC-3002 ET GMC-3005 ET GMC-3006 ET GMC-3009 ET GMC-3025 ET ( GMC-3003 OU GMC-3023 ) ET  1000 à 4999 Crédits exigés : 54</t>
  </si>
  <si>
    <t>Préalables préuniversitaires nécessaires s'il y a lieu : CHM-0150 et PHY-0250.</t>
  </si>
  <si>
    <t>Préalables préuniversitaires nécessaires s'il y a lieu : MAT-0150.Cette section de cours est offerte en formule à distance et peut contenir des activités de formation en ligne synchrones, à une date et une heure précises et des activités de formation en ligne qui se déroulent en temps différé.Les examens sous surveillance nécessitent un déplacement sur le campus ou dans l’un des centres d’examens hors campus, au choix de l’étudiante et de l’étudiant. Ils ont lieu en soirée ou la fin de semaine et, s’il y a lieu, peuvent donc se dérouler à un autre moment que la plage prévue pour les séances synchrones.NOTE IMPORTANTE : Pour chaque cours donné à distance, veuillez vous assurer qu’il n’existe aucun conflit d’horaire entre vos examens, aucun accommodement ne sera accordé en cas de conflit d’horaire.</t>
  </si>
  <si>
    <t>Préalables préuniversitaires nécessaires s'il y a lieu : MAT-0130, MAT-0150 et MAT-0260.</t>
  </si>
  <si>
    <t>Crédits exigés : 60</t>
  </si>
  <si>
    <t>Préalables préuniversitaires nécessaires s'il y a lieu : MAT-0150, MAT-0260, MAT-0130, PHY-0150, PHY-0250 et PHY-0260.</t>
  </si>
  <si>
    <t>Préalables préuniversitaires nécessaires s'il y a lieu : MAT-0150 et MAT-0260.</t>
  </si>
  <si>
    <t>Cours à option à déterminer</t>
  </si>
  <si>
    <t>Scolarité préparatoire</t>
  </si>
  <si>
    <t>Cours compensateurs</t>
  </si>
  <si>
    <t>MAT-0150</t>
  </si>
  <si>
    <t>Calcul différentiel</t>
  </si>
  <si>
    <t>MAT-0260</t>
  </si>
  <si>
    <t>Calcul intégral</t>
  </si>
  <si>
    <t>MAT-0130</t>
  </si>
  <si>
    <t>Algèbre vectorielle</t>
  </si>
  <si>
    <t>PHY-0250</t>
  </si>
  <si>
    <t>Physique : électricité et magnétisme</t>
  </si>
  <si>
    <t>Statique</t>
  </si>
  <si>
    <t>Modéli3D</t>
  </si>
  <si>
    <t>Matériau</t>
  </si>
  <si>
    <t>MathIng1</t>
  </si>
  <si>
    <t>InMécFlu</t>
  </si>
  <si>
    <t>RésMatér</t>
  </si>
  <si>
    <t>MathIng2</t>
  </si>
  <si>
    <t>AnaNumér</t>
  </si>
  <si>
    <t>InThermo</t>
  </si>
  <si>
    <t>RésCompo</t>
  </si>
  <si>
    <t>DynCorps</t>
  </si>
  <si>
    <t>DynFluAp</t>
  </si>
  <si>
    <t>ÉqDérPar</t>
  </si>
  <si>
    <t>IngConc1</t>
  </si>
  <si>
    <t>MachTher</t>
  </si>
  <si>
    <t>IngConc2</t>
  </si>
  <si>
    <t>DynVibra</t>
  </si>
  <si>
    <t>DynComAp</t>
  </si>
  <si>
    <t>TranTher</t>
  </si>
  <si>
    <t>GestProj</t>
  </si>
  <si>
    <t>IngConc3</t>
  </si>
  <si>
    <t>MéthStat</t>
  </si>
  <si>
    <t>FabrMéca</t>
  </si>
  <si>
    <t>ÉléTrPui</t>
  </si>
  <si>
    <t>InMesMéc</t>
  </si>
  <si>
    <t>IngConc4</t>
  </si>
  <si>
    <t>InvExpér</t>
  </si>
  <si>
    <t>IngConc5</t>
  </si>
  <si>
    <t>GénDévDu</t>
  </si>
  <si>
    <t>IngConc6</t>
  </si>
  <si>
    <t>ÉthiProf</t>
  </si>
  <si>
    <t>AnaÉcono</t>
  </si>
  <si>
    <t>PratiGMC</t>
  </si>
  <si>
    <t>ComTechn</t>
  </si>
  <si>
    <t>SantéSéc</t>
  </si>
  <si>
    <t>StagGMC2</t>
  </si>
  <si>
    <t>InProgPy</t>
  </si>
  <si>
    <t>InforIng</t>
  </si>
  <si>
    <t>SimNumÉc</t>
  </si>
  <si>
    <t>InAérody</t>
  </si>
  <si>
    <t>PropAéro</t>
  </si>
  <si>
    <t>TurboMac</t>
  </si>
  <si>
    <t>ScEspace</t>
  </si>
  <si>
    <t>SavEntre</t>
  </si>
  <si>
    <t>InEntrep</t>
  </si>
  <si>
    <t>EnvBâtim</t>
  </si>
  <si>
    <t>StrucMét</t>
  </si>
  <si>
    <t>ImpEnvir</t>
  </si>
  <si>
    <t>Électrot</t>
  </si>
  <si>
    <t>CommIndu</t>
  </si>
  <si>
    <t>DangÉlec</t>
  </si>
  <si>
    <t>InMécBât</t>
  </si>
  <si>
    <t>ConCVACR</t>
  </si>
  <si>
    <t>InMatSan</t>
  </si>
  <si>
    <t>GestOpér</t>
  </si>
  <si>
    <t>OptiSyst</t>
  </si>
  <si>
    <t>EnvCycle</t>
  </si>
  <si>
    <t>AnaRisqu</t>
  </si>
  <si>
    <t>ScDonnIn</t>
  </si>
  <si>
    <t>AchatApp</t>
  </si>
  <si>
    <t>IngChLog</t>
  </si>
  <si>
    <t>AutIndus</t>
  </si>
  <si>
    <t>IngQuali</t>
  </si>
  <si>
    <t>PrDévPro</t>
  </si>
  <si>
    <t>InAppAut</t>
  </si>
  <si>
    <t>AlgoStru</t>
  </si>
  <si>
    <t>TechAvIA</t>
  </si>
  <si>
    <t>MatéComp</t>
  </si>
  <si>
    <t>MécEsMat</t>
  </si>
  <si>
    <t>CNDMatér</t>
  </si>
  <si>
    <t>SoudMaté</t>
  </si>
  <si>
    <t>ComSysAv</t>
  </si>
  <si>
    <t>ProgrC++</t>
  </si>
  <si>
    <t>InRobMob</t>
  </si>
  <si>
    <t>InitMéca</t>
  </si>
  <si>
    <t>Mécatron</t>
  </si>
  <si>
    <t>ÉlémRobo</t>
  </si>
  <si>
    <t>AlgèLiné</t>
  </si>
  <si>
    <t>Tracteur</t>
  </si>
  <si>
    <t>InGéMari</t>
  </si>
  <si>
    <t>CinMécan</t>
  </si>
  <si>
    <t>SimNumSt</t>
  </si>
  <si>
    <t>HydrPneu</t>
  </si>
  <si>
    <t>ModAnCAO</t>
  </si>
  <si>
    <t>ProjSpé1</t>
  </si>
  <si>
    <t>ProjSpé2</t>
  </si>
  <si>
    <t>CharBois</t>
  </si>
  <si>
    <t>StrucBét</t>
  </si>
  <si>
    <t>GestEaux</t>
  </si>
  <si>
    <t>ProjEnt1</t>
  </si>
  <si>
    <t>ProjEnt2</t>
  </si>
  <si>
    <t>EntrTech</t>
  </si>
  <si>
    <t>nouveaux préalables</t>
  </si>
  <si>
    <t>(MAT-1900 * OU PHY-1002 *) ET (MAT-0130 ET MAT-0150 ET MAT-0260 ET PHY-0250)</t>
  </si>
  <si>
    <t>MAT-0130 ET MAT-0150 ET MAT-0260 ET PHY-0150</t>
  </si>
  <si>
    <t>CHM-0150 ET PHY-0250</t>
  </si>
  <si>
    <t>https://www.ulaval.ca/etudes/cours/mat-0130-algebre-vectorielle</t>
  </si>
  <si>
    <t>https://www.ulaval.ca/etudes/cours/mat-0150-calcul-differentiel</t>
  </si>
  <si>
    <t>https://www.ulaval.ca/etudes/cours/mat-0260-calcul-integral</t>
  </si>
  <si>
    <t>MAT-0130 ET MAT-0150 ET MAT-0260</t>
  </si>
  <si>
    <t>PHY-0150</t>
  </si>
  <si>
    <t>MAT-0150 ET MAT-0260 ET MAT-0130 ET PHY-0150 ET PHY-0250 ET PHY-0260</t>
  </si>
  <si>
    <t>MAT-0150 ET MAT-0260</t>
  </si>
  <si>
    <t>AlgVecto</t>
  </si>
  <si>
    <t>CalcDiff</t>
  </si>
  <si>
    <t>CalcInté</t>
  </si>
  <si>
    <t>cours de scolarité préparatoire</t>
  </si>
  <si>
    <t>Physique : mécanique classique</t>
  </si>
  <si>
    <t>PHY-0260</t>
  </si>
  <si>
    <t>MécClass</t>
  </si>
  <si>
    <t>ÉlecMagn</t>
  </si>
  <si>
    <t>OptÀDét1</t>
  </si>
  <si>
    <t>OptÀDét2</t>
  </si>
  <si>
    <t>OptÀDét3</t>
  </si>
  <si>
    <t>OptÀDét4</t>
  </si>
  <si>
    <t>OptÀDét5</t>
  </si>
  <si>
    <t>LangÀDét</t>
  </si>
  <si>
    <t>GMN-2902</t>
  </si>
  <si>
    <t>MED-1100</t>
  </si>
  <si>
    <t>Santé et sécurité en ingénierie III</t>
  </si>
  <si>
    <t>Santé et sécurité au travail : notions de base</t>
  </si>
  <si>
    <t>A25</t>
  </si>
  <si>
    <t>A24</t>
  </si>
  <si>
    <t>A23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</si>
</sst>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Calibri"/>
      <family val="2"/>
      <scheme val="minor"/>
    </font>
    <font>
      <sz val="8"/>
      <name val="Calibri"/>
      <family val="2"/>
      <scheme val="minor"/>
    </font>
    <font>
      <b/>
      <sz val="11"/>
      <color theme="1"/>
      <name val="Calibri"/>
      <family val="2"/>
      <scheme val="minor"/>
    </font>
    <font>
      <sz val="10"/>
      <color theme="1"/>
      <name val="Arial Unicode MS"/>
    </font>
  </fonts>
  <fills count="18">
    <fill>
      <patternFill patternType="none"/>
    </fill>
    <fill>
      <patternFill patternType="gray125"/>
    </fill>
    <fill>
      <patternFill patternType="solid">
        <fgColor rgb="FFFFFF00"/>
        <bgColor indexed="64"/>
      </patternFill>
    </fill>
    <fill>
      <patternFill patternType="solid">
        <fgColor rgb="FFE30513"/>
        <bgColor indexed="64"/>
      </patternFill>
    </fill>
    <fill>
      <patternFill patternType="solid">
        <fgColor rgb="FFFFC103"/>
        <bgColor indexed="64"/>
      </patternFill>
    </fill>
    <fill>
      <patternFill patternType="solid">
        <fgColor rgb="FF0099FF"/>
        <bgColor indexed="64"/>
      </patternFill>
    </fill>
    <fill>
      <patternFill patternType="solid">
        <fgColor rgb="FF515151"/>
        <bgColor indexed="64"/>
      </patternFill>
    </fill>
    <fill>
      <patternFill patternType="solid">
        <fgColor rgb="FFF7A941"/>
        <bgColor indexed="64"/>
      </patternFill>
    </fill>
    <fill>
      <patternFill patternType="solid">
        <fgColor rgb="FF51A27E"/>
        <bgColor indexed="64"/>
      </patternFill>
    </fill>
    <fill>
      <patternFill patternType="solid">
        <fgColor rgb="FF702E78"/>
        <bgColor indexed="64"/>
      </patternFill>
    </fill>
    <fill>
      <patternFill patternType="solid">
        <fgColor rgb="FF7B003D"/>
        <bgColor indexed="64"/>
      </patternFill>
    </fill>
    <fill>
      <patternFill patternType="solid">
        <fgColor rgb="FF1D3557"/>
        <bgColor indexed="64"/>
      </patternFill>
    </fill>
    <fill>
      <patternFill patternType="solid">
        <fgColor rgb="FF5C7FA3"/>
        <bgColor indexed="64"/>
      </patternFill>
    </fill>
    <fill>
      <patternFill patternType="solid">
        <fgColor rgb="FF3DB8B5"/>
        <bgColor indexed="64"/>
      </patternFill>
    </fill>
    <fill>
      <patternFill patternType="solid">
        <fgColor rgb="FF7A8C4A"/>
        <bgColor indexed="64"/>
      </patternFill>
    </fill>
    <fill>
      <patternFill patternType="solid">
        <fgColor rgb="FFD97706"/>
        <bgColor indexed="64"/>
      </patternFill>
    </fill>
    <fill>
      <patternFill patternType="solid">
        <fgColor rgb="FFE76F51"/>
        <bgColor indexed="64"/>
      </patternFill>
    </fill>
    <fill>
      <patternFill patternType="solid">
        <fgColor rgb="FF8C5A7B"/>
        <bgColor indexed="64"/>
      </patternFill>
    </fill>
  </fills>
  <borders count="1">
    <border>
      <left/>
      <right/>
      <top/>
      <bottom/>
      <diagonal/>
    </border>
  </borders>
  <cellStyleXfs count="1">
    <xf numFmtId="0" fontId="0" fillId="0" borderId="0"/>
  </cellStyleXfs>
  <cellXfs count="2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2" fillId="0" borderId="0" xfId="0" applyFont="1" applyAlignment="1">
      <alignment horizontal="center" vertical="center" wrapText="1"/>
    </xf>
    <xf numFmtId="0" fontId="0" fillId="0" borderId="0" xfId="0" applyAlignment="1">
      <alignment vertical="center" wrapText="1"/>
    </xf>
    <xf numFmtId="0" fontId="3" fillId="0" borderId="0" xfId="0" applyFont="1" applyAlignment="1">
      <alignment vertical="center" wrapText="1"/>
    </xf>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EE9C7-2537-4980-AD79-4612CD56E3D5}">
  <sheetPr codeName="Feuil1"/>
  <dimension ref="A1:E36"/>
  <sheetViews>
    <sheetView workbookViewId="0">
      <selection activeCell="D5" sqref="D5"/>
    </sheetView>
  </sheetViews>
  <sheetFormatPr baseColWidth="10" defaultRowHeight="15"/>
  <cols>
    <col min="1" max="1" width="22" customWidth="1"/>
    <col min="2" max="2" width="21.42578125" customWidth="1"/>
    <col min="4" max="4" width="61.140625" customWidth="1"/>
  </cols>
  <sheetData>
    <row r="1" spans="1:5">
      <c r="A1" t="s">
        <v>207</v>
      </c>
      <c r="B1" s="1" t="s">
        <v>209</v>
      </c>
    </row>
    <row r="2" spans="1:5">
      <c r="A2" t="s">
        <v>208</v>
      </c>
      <c r="B2" s="1" t="s">
        <v>210</v>
      </c>
    </row>
    <row r="3" spans="1:5">
      <c r="A3" t="s">
        <v>13</v>
      </c>
    </row>
    <row r="4" spans="1:5">
      <c r="B4" s="1" t="s">
        <v>211</v>
      </c>
      <c r="D4" s="1" t="s">
        <v>295</v>
      </c>
      <c r="E4" s="1" t="s">
        <v>215</v>
      </c>
    </row>
    <row r="5" spans="1:5">
      <c r="C5" s="1" t="s">
        <v>212</v>
      </c>
      <c r="D5" s="1" t="s">
        <v>213</v>
      </c>
      <c r="E5" s="1" t="s">
        <v>214</v>
      </c>
    </row>
    <row r="6" spans="1:5">
      <c r="C6" s="1" t="s">
        <v>216</v>
      </c>
      <c r="D6" s="1" t="s">
        <v>218</v>
      </c>
      <c r="E6" s="1" t="s">
        <v>220</v>
      </c>
    </row>
    <row r="7" spans="1:5">
      <c r="C7" s="1" t="s">
        <v>217</v>
      </c>
      <c r="D7" s="1" t="s">
        <v>219</v>
      </c>
      <c r="E7" s="1" t="s">
        <v>221</v>
      </c>
    </row>
    <row r="8" spans="1:5">
      <c r="B8" s="1" t="s">
        <v>222</v>
      </c>
      <c r="E8" s="1" t="s">
        <v>215</v>
      </c>
    </row>
    <row r="9" spans="1:5">
      <c r="C9" s="1" t="s">
        <v>223</v>
      </c>
      <c r="D9" s="1" t="s">
        <v>213</v>
      </c>
      <c r="E9" s="1" t="s">
        <v>224</v>
      </c>
    </row>
    <row r="10" spans="1:5">
      <c r="B10" s="1" t="s">
        <v>225</v>
      </c>
      <c r="E10" s="1" t="s">
        <v>226</v>
      </c>
    </row>
    <row r="11" spans="1:5">
      <c r="C11" s="1" t="s">
        <v>228</v>
      </c>
      <c r="D11" s="1" t="s">
        <v>229</v>
      </c>
      <c r="E11" s="1" t="s">
        <v>227</v>
      </c>
    </row>
    <row r="12" spans="1:5">
      <c r="C12" s="1" t="s">
        <v>234</v>
      </c>
      <c r="D12" s="1" t="s">
        <v>235</v>
      </c>
      <c r="E12" s="1" t="s">
        <v>236</v>
      </c>
    </row>
    <row r="13" spans="1:5">
      <c r="A13" s="1" t="s">
        <v>231</v>
      </c>
      <c r="E13" s="1" t="s">
        <v>232</v>
      </c>
    </row>
    <row r="14" spans="1:5">
      <c r="B14" s="1" t="s">
        <v>230</v>
      </c>
      <c r="D14" s="1" t="s">
        <v>296</v>
      </c>
      <c r="E14" s="1" t="s">
        <v>233</v>
      </c>
    </row>
    <row r="15" spans="1:5">
      <c r="C15" s="1" t="s">
        <v>237</v>
      </c>
      <c r="D15" s="1" t="s">
        <v>238</v>
      </c>
      <c r="E15" s="1" t="s">
        <v>239</v>
      </c>
    </row>
    <row r="16" spans="1:5">
      <c r="C16" s="1" t="s">
        <v>240</v>
      </c>
      <c r="D16" s="1" t="s">
        <v>241</v>
      </c>
      <c r="E16" s="1" t="s">
        <v>242</v>
      </c>
    </row>
    <row r="17" spans="1:5">
      <c r="C17" s="1" t="s">
        <v>243</v>
      </c>
      <c r="D17" s="1" t="s">
        <v>244</v>
      </c>
      <c r="E17" s="1" t="s">
        <v>245</v>
      </c>
    </row>
    <row r="18" spans="1:5">
      <c r="B18" s="1" t="s">
        <v>246</v>
      </c>
      <c r="E18" s="1" t="s">
        <v>247</v>
      </c>
    </row>
    <row r="19" spans="1:5">
      <c r="C19" s="1" t="s">
        <v>248</v>
      </c>
      <c r="D19" s="1" t="s">
        <v>249</v>
      </c>
      <c r="E19" s="1" t="s">
        <v>250</v>
      </c>
    </row>
    <row r="20" spans="1:5">
      <c r="A20" s="1" t="s">
        <v>251</v>
      </c>
      <c r="E20" s="1" t="s">
        <v>253</v>
      </c>
    </row>
    <row r="21" spans="1:5">
      <c r="B21" s="1" t="s">
        <v>252</v>
      </c>
      <c r="E21" s="1" t="s">
        <v>254</v>
      </c>
    </row>
    <row r="22" spans="1:5">
      <c r="C22" s="1" t="s">
        <v>255</v>
      </c>
      <c r="D22" s="1" t="s">
        <v>256</v>
      </c>
      <c r="E22" s="1" t="s">
        <v>257</v>
      </c>
    </row>
    <row r="23" spans="1:5">
      <c r="B23" s="1" t="s">
        <v>258</v>
      </c>
      <c r="E23" s="1" t="s">
        <v>259</v>
      </c>
    </row>
    <row r="24" spans="1:5">
      <c r="C24" s="1" t="s">
        <v>260</v>
      </c>
      <c r="D24" s="1" t="s">
        <v>263</v>
      </c>
      <c r="E24" s="1" t="s">
        <v>266</v>
      </c>
    </row>
    <row r="25" spans="1:5">
      <c r="C25" s="1" t="s">
        <v>261</v>
      </c>
      <c r="D25" s="1" t="s">
        <v>264</v>
      </c>
      <c r="E25" s="1" t="s">
        <v>267</v>
      </c>
    </row>
    <row r="26" spans="1:5">
      <c r="C26" s="1" t="s">
        <v>262</v>
      </c>
      <c r="D26" s="1" t="s">
        <v>265</v>
      </c>
      <c r="E26" s="1" t="s">
        <v>268</v>
      </c>
    </row>
    <row r="27" spans="1:5">
      <c r="A27" s="1" t="s">
        <v>269</v>
      </c>
      <c r="E27" s="1" t="s">
        <v>270</v>
      </c>
    </row>
    <row r="28" spans="1:5">
      <c r="B28" s="1" t="s">
        <v>271</v>
      </c>
      <c r="D28" s="1" t="s">
        <v>297</v>
      </c>
      <c r="E28" s="1" t="s">
        <v>272</v>
      </c>
    </row>
    <row r="29" spans="1:5">
      <c r="C29" s="1" t="s">
        <v>273</v>
      </c>
      <c r="D29" s="1" t="s">
        <v>274</v>
      </c>
      <c r="E29" s="1" t="s">
        <v>275</v>
      </c>
    </row>
    <row r="30" spans="1:5">
      <c r="C30" s="1" t="s">
        <v>276</v>
      </c>
      <c r="D30" s="1" t="s">
        <v>277</v>
      </c>
      <c r="E30" s="1" t="s">
        <v>278</v>
      </c>
    </row>
    <row r="31" spans="1:5">
      <c r="B31" s="1" t="s">
        <v>279</v>
      </c>
      <c r="E31" s="1" t="s">
        <v>280</v>
      </c>
    </row>
    <row r="32" spans="1:5">
      <c r="C32" s="1" t="s">
        <v>281</v>
      </c>
      <c r="D32" s="1" t="s">
        <v>282</v>
      </c>
      <c r="E32" s="1" t="s">
        <v>283</v>
      </c>
    </row>
    <row r="33" spans="2:5">
      <c r="C33" s="1" t="s">
        <v>284</v>
      </c>
      <c r="D33" s="1" t="s">
        <v>285</v>
      </c>
      <c r="E33" s="1" t="s">
        <v>286</v>
      </c>
    </row>
    <row r="34" spans="2:5">
      <c r="C34" s="1" t="s">
        <v>287</v>
      </c>
      <c r="D34" s="1" t="s">
        <v>288</v>
      </c>
      <c r="E34" s="1" t="s">
        <v>289</v>
      </c>
    </row>
    <row r="35" spans="2:5">
      <c r="B35" s="1" t="s">
        <v>290</v>
      </c>
      <c r="E35" s="1" t="s">
        <v>291</v>
      </c>
    </row>
    <row r="36" spans="2:5">
      <c r="C36" s="1" t="s">
        <v>292</v>
      </c>
      <c r="D36" s="1" t="s">
        <v>293</v>
      </c>
      <c r="E36" s="1" t="s">
        <v>294</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7E1B1-78E0-4628-97F1-CCD1E354E06D}">
  <sheetPr codeName="Feuil2"/>
  <dimension ref="A1:G168"/>
  <sheetViews>
    <sheetView topLeftCell="A21" workbookViewId="0">
      <selection activeCell="G36" sqref="G36"/>
    </sheetView>
  </sheetViews>
  <sheetFormatPr baseColWidth="10" defaultRowHeight="15"/>
  <cols>
    <col min="1" max="1" width="22" customWidth="1"/>
    <col min="2" max="2" width="21.42578125" customWidth="1"/>
    <col min="4" max="4" width="61.140625" customWidth="1"/>
  </cols>
  <sheetData>
    <row r="1" spans="1:7">
      <c r="A1" t="s">
        <v>207</v>
      </c>
      <c r="B1" t="s">
        <v>206</v>
      </c>
    </row>
    <row r="2" spans="1:7">
      <c r="A2" t="s">
        <v>208</v>
      </c>
      <c r="B2" t="s">
        <v>301</v>
      </c>
    </row>
    <row r="3" spans="1:7">
      <c r="A3" t="s">
        <v>498</v>
      </c>
    </row>
    <row r="4" spans="1:7">
      <c r="B4" t="s">
        <v>499</v>
      </c>
      <c r="E4">
        <v>18</v>
      </c>
    </row>
    <row r="5" spans="1:7">
      <c r="C5" t="s">
        <v>504</v>
      </c>
      <c r="D5" t="s">
        <v>505</v>
      </c>
      <c r="E5">
        <v>3</v>
      </c>
      <c r="F5" t="s">
        <v>611</v>
      </c>
      <c r="G5" t="s">
        <v>327</v>
      </c>
    </row>
    <row r="6" spans="1:7">
      <c r="C6" t="s">
        <v>500</v>
      </c>
      <c r="D6" t="s">
        <v>501</v>
      </c>
      <c r="E6">
        <v>4</v>
      </c>
      <c r="F6" t="s">
        <v>612</v>
      </c>
      <c r="G6" t="s">
        <v>327</v>
      </c>
    </row>
    <row r="7" spans="1:7">
      <c r="C7" t="s">
        <v>502</v>
      </c>
      <c r="D7" t="s">
        <v>503</v>
      </c>
      <c r="E7">
        <v>4</v>
      </c>
      <c r="F7" t="s">
        <v>613</v>
      </c>
      <c r="G7" t="s">
        <v>327</v>
      </c>
    </row>
    <row r="8" spans="1:7">
      <c r="C8" t="s">
        <v>608</v>
      </c>
      <c r="D8" t="s">
        <v>615</v>
      </c>
      <c r="E8">
        <v>4</v>
      </c>
      <c r="F8" t="s">
        <v>617</v>
      </c>
      <c r="G8" t="s">
        <v>327</v>
      </c>
    </row>
    <row r="9" spans="1:7">
      <c r="C9" t="s">
        <v>506</v>
      </c>
      <c r="D9" t="s">
        <v>507</v>
      </c>
      <c r="E9">
        <v>3</v>
      </c>
      <c r="F9" t="s">
        <v>618</v>
      </c>
      <c r="G9" t="s">
        <v>327</v>
      </c>
    </row>
    <row r="10" spans="1:7">
      <c r="A10" t="s">
        <v>13</v>
      </c>
    </row>
    <row r="11" spans="1:7">
      <c r="B11" t="s">
        <v>183</v>
      </c>
      <c r="E11">
        <v>99</v>
      </c>
    </row>
    <row r="12" spans="1:7">
      <c r="C12" t="s">
        <v>14</v>
      </c>
      <c r="D12" t="s">
        <v>1</v>
      </c>
      <c r="E12">
        <v>3</v>
      </c>
      <c r="F12" t="s">
        <v>508</v>
      </c>
      <c r="G12" t="s">
        <v>324</v>
      </c>
    </row>
    <row r="13" spans="1:7">
      <c r="C13" t="s">
        <v>15</v>
      </c>
      <c r="D13" t="s">
        <v>2</v>
      </c>
      <c r="E13">
        <v>3</v>
      </c>
      <c r="F13" t="s">
        <v>509</v>
      </c>
      <c r="G13" t="s">
        <v>320</v>
      </c>
    </row>
    <row r="14" spans="1:7">
      <c r="C14" t="s">
        <v>16</v>
      </c>
      <c r="D14" t="s">
        <v>3</v>
      </c>
      <c r="E14">
        <v>3</v>
      </c>
      <c r="F14" t="s">
        <v>510</v>
      </c>
      <c r="G14" t="s">
        <v>316</v>
      </c>
    </row>
    <row r="15" spans="1:7">
      <c r="C15" t="s">
        <v>17</v>
      </c>
      <c r="D15" t="s">
        <v>4</v>
      </c>
      <c r="E15">
        <v>3</v>
      </c>
      <c r="F15" t="s">
        <v>511</v>
      </c>
      <c r="G15" t="s">
        <v>325</v>
      </c>
    </row>
    <row r="16" spans="1:7">
      <c r="C16" t="s">
        <v>18</v>
      </c>
      <c r="D16" t="s">
        <v>5</v>
      </c>
      <c r="E16">
        <v>3</v>
      </c>
      <c r="F16" t="s">
        <v>512</v>
      </c>
      <c r="G16" t="s">
        <v>308</v>
      </c>
    </row>
    <row r="17" spans="3:7">
      <c r="C17" t="s">
        <v>19</v>
      </c>
      <c r="D17" t="s">
        <v>6</v>
      </c>
      <c r="E17">
        <v>3</v>
      </c>
      <c r="F17" t="s">
        <v>513</v>
      </c>
      <c r="G17" t="s">
        <v>324</v>
      </c>
    </row>
    <row r="18" spans="3:7">
      <c r="C18" t="s">
        <v>20</v>
      </c>
      <c r="D18" t="s">
        <v>7</v>
      </c>
      <c r="E18">
        <v>3</v>
      </c>
      <c r="F18" t="s">
        <v>514</v>
      </c>
      <c r="G18" t="s">
        <v>325</v>
      </c>
    </row>
    <row r="19" spans="3:7">
      <c r="C19" t="s">
        <v>21</v>
      </c>
      <c r="D19" t="s">
        <v>8</v>
      </c>
      <c r="E19">
        <v>3</v>
      </c>
      <c r="F19" t="s">
        <v>515</v>
      </c>
      <c r="G19" t="s">
        <v>325</v>
      </c>
    </row>
    <row r="20" spans="3:7">
      <c r="C20" t="s">
        <v>22</v>
      </c>
      <c r="D20" t="s">
        <v>23</v>
      </c>
      <c r="E20">
        <v>3</v>
      </c>
      <c r="F20" t="s">
        <v>516</v>
      </c>
      <c r="G20" t="s">
        <v>308</v>
      </c>
    </row>
    <row r="21" spans="3:7">
      <c r="C21" t="s">
        <v>24</v>
      </c>
      <c r="D21" t="s">
        <v>25</v>
      </c>
      <c r="E21">
        <v>3</v>
      </c>
      <c r="F21" t="s">
        <v>517</v>
      </c>
      <c r="G21" t="s">
        <v>324</v>
      </c>
    </row>
    <row r="22" spans="3:7">
      <c r="C22" t="s">
        <v>26</v>
      </c>
      <c r="D22" t="s">
        <v>9</v>
      </c>
      <c r="E22">
        <v>3</v>
      </c>
      <c r="F22" t="s">
        <v>518</v>
      </c>
      <c r="G22" t="s">
        <v>324</v>
      </c>
    </row>
    <row r="23" spans="3:7">
      <c r="C23" t="s">
        <v>27</v>
      </c>
      <c r="D23" t="s">
        <v>28</v>
      </c>
      <c r="E23">
        <v>3</v>
      </c>
      <c r="F23" t="s">
        <v>519</v>
      </c>
      <c r="G23" t="s">
        <v>308</v>
      </c>
    </row>
    <row r="24" spans="3:7">
      <c r="C24" t="s">
        <v>29</v>
      </c>
      <c r="D24" t="s">
        <v>30</v>
      </c>
      <c r="E24">
        <v>3</v>
      </c>
      <c r="F24" t="s">
        <v>520</v>
      </c>
      <c r="G24" t="s">
        <v>325</v>
      </c>
    </row>
    <row r="25" spans="3:7">
      <c r="C25" t="s">
        <v>31</v>
      </c>
      <c r="D25" t="s">
        <v>10</v>
      </c>
      <c r="E25">
        <v>3</v>
      </c>
      <c r="F25" t="s">
        <v>521</v>
      </c>
      <c r="G25" t="s">
        <v>320</v>
      </c>
    </row>
    <row r="26" spans="3:7">
      <c r="C26" t="s">
        <v>32</v>
      </c>
      <c r="D26" t="s">
        <v>33</v>
      </c>
      <c r="E26">
        <v>3</v>
      </c>
      <c r="F26" t="s">
        <v>522</v>
      </c>
      <c r="G26" t="s">
        <v>308</v>
      </c>
    </row>
    <row r="27" spans="3:7">
      <c r="C27" t="s">
        <v>34</v>
      </c>
      <c r="D27" t="s">
        <v>35</v>
      </c>
      <c r="E27">
        <v>3</v>
      </c>
      <c r="F27" t="s">
        <v>523</v>
      </c>
      <c r="G27" t="s">
        <v>320</v>
      </c>
    </row>
    <row r="28" spans="3:7">
      <c r="C28" t="s">
        <v>36</v>
      </c>
      <c r="D28" t="s">
        <v>37</v>
      </c>
      <c r="E28">
        <v>3</v>
      </c>
      <c r="F28" t="s">
        <v>524</v>
      </c>
      <c r="G28" t="s">
        <v>324</v>
      </c>
    </row>
    <row r="29" spans="3:7">
      <c r="C29" t="s">
        <v>38</v>
      </c>
      <c r="D29" t="s">
        <v>39</v>
      </c>
      <c r="E29">
        <v>3</v>
      </c>
      <c r="F29" t="s">
        <v>525</v>
      </c>
      <c r="G29" t="s">
        <v>313</v>
      </c>
    </row>
    <row r="30" spans="3:7">
      <c r="C30" t="s">
        <v>40</v>
      </c>
      <c r="D30" t="s">
        <v>41</v>
      </c>
      <c r="E30">
        <v>3</v>
      </c>
      <c r="F30" t="s">
        <v>526</v>
      </c>
      <c r="G30" t="s">
        <v>308</v>
      </c>
    </row>
    <row r="31" spans="3:7">
      <c r="C31" t="s">
        <v>42</v>
      </c>
      <c r="D31" t="s">
        <v>43</v>
      </c>
      <c r="E31">
        <v>3</v>
      </c>
      <c r="F31" t="s">
        <v>527</v>
      </c>
      <c r="G31" t="s">
        <v>321</v>
      </c>
    </row>
    <row r="32" spans="3:7">
      <c r="C32" t="s">
        <v>44</v>
      </c>
      <c r="D32" t="s">
        <v>45</v>
      </c>
      <c r="E32">
        <v>3</v>
      </c>
      <c r="F32" t="s">
        <v>528</v>
      </c>
      <c r="G32" t="s">
        <v>320</v>
      </c>
    </row>
    <row r="33" spans="2:7">
      <c r="C33" t="s">
        <v>46</v>
      </c>
      <c r="D33" t="s">
        <v>47</v>
      </c>
      <c r="E33">
        <v>3</v>
      </c>
      <c r="F33" t="s">
        <v>529</v>
      </c>
      <c r="G33" t="s">
        <v>325</v>
      </c>
    </row>
    <row r="34" spans="2:7">
      <c r="C34" t="s">
        <v>48</v>
      </c>
      <c r="D34" t="s">
        <v>11</v>
      </c>
      <c r="E34">
        <v>3</v>
      </c>
      <c r="F34" t="s">
        <v>530</v>
      </c>
      <c r="G34" t="s">
        <v>324</v>
      </c>
    </row>
    <row r="35" spans="2:7">
      <c r="C35" t="s">
        <v>49</v>
      </c>
      <c r="D35" t="s">
        <v>50</v>
      </c>
      <c r="E35">
        <v>3</v>
      </c>
      <c r="F35" t="s">
        <v>531</v>
      </c>
      <c r="G35" t="s">
        <v>324</v>
      </c>
    </row>
    <row r="36" spans="2:7">
      <c r="C36" t="s">
        <v>51</v>
      </c>
      <c r="D36" t="s">
        <v>52</v>
      </c>
      <c r="E36">
        <v>3</v>
      </c>
      <c r="F36" t="s">
        <v>532</v>
      </c>
      <c r="G36" t="s">
        <v>313</v>
      </c>
    </row>
    <row r="37" spans="2:7">
      <c r="C37" t="s">
        <v>53</v>
      </c>
      <c r="D37" t="s">
        <v>54</v>
      </c>
      <c r="E37">
        <v>3</v>
      </c>
      <c r="F37" t="s">
        <v>533</v>
      </c>
      <c r="G37" t="s">
        <v>320</v>
      </c>
    </row>
    <row r="38" spans="2:7">
      <c r="C38" t="s">
        <v>55</v>
      </c>
      <c r="D38" t="s">
        <v>56</v>
      </c>
      <c r="E38">
        <v>3</v>
      </c>
      <c r="F38" t="s">
        <v>534</v>
      </c>
      <c r="G38" t="s">
        <v>313</v>
      </c>
    </row>
    <row r="39" spans="2:7">
      <c r="C39" t="s">
        <v>57</v>
      </c>
      <c r="D39" t="s">
        <v>58</v>
      </c>
      <c r="E39">
        <v>3</v>
      </c>
      <c r="F39" t="s">
        <v>535</v>
      </c>
      <c r="G39" t="s">
        <v>320</v>
      </c>
    </row>
    <row r="40" spans="2:7">
      <c r="C40" t="s">
        <v>59</v>
      </c>
      <c r="D40" t="s">
        <v>60</v>
      </c>
      <c r="E40">
        <v>3</v>
      </c>
      <c r="F40" t="s">
        <v>536</v>
      </c>
      <c r="G40" t="s">
        <v>321</v>
      </c>
    </row>
    <row r="41" spans="2:7">
      <c r="C41" t="s">
        <v>61</v>
      </c>
      <c r="D41" t="s">
        <v>62</v>
      </c>
      <c r="E41">
        <v>3</v>
      </c>
      <c r="F41" t="s">
        <v>537</v>
      </c>
      <c r="G41" t="s">
        <v>320</v>
      </c>
    </row>
    <row r="42" spans="2:7">
      <c r="C42" t="s">
        <v>63</v>
      </c>
      <c r="D42" t="s">
        <v>64</v>
      </c>
      <c r="E42">
        <v>3</v>
      </c>
      <c r="F42" t="s">
        <v>538</v>
      </c>
      <c r="G42" t="s">
        <v>321</v>
      </c>
    </row>
    <row r="43" spans="2:7">
      <c r="C43" t="s">
        <v>65</v>
      </c>
      <c r="D43" t="s">
        <v>66</v>
      </c>
      <c r="E43">
        <v>3</v>
      </c>
      <c r="F43" t="s">
        <v>539</v>
      </c>
      <c r="G43" t="s">
        <v>321</v>
      </c>
    </row>
    <row r="44" spans="2:7">
      <c r="C44" t="s">
        <v>67</v>
      </c>
      <c r="D44" t="s">
        <v>68</v>
      </c>
      <c r="E44">
        <v>1</v>
      </c>
      <c r="F44" t="s">
        <v>540</v>
      </c>
      <c r="G44" t="s">
        <v>316</v>
      </c>
    </row>
    <row r="45" spans="2:7">
      <c r="C45" t="s">
        <v>69</v>
      </c>
      <c r="D45" t="s">
        <v>70</v>
      </c>
      <c r="E45">
        <v>1</v>
      </c>
      <c r="F45" t="s">
        <v>541</v>
      </c>
      <c r="G45" t="s">
        <v>321</v>
      </c>
    </row>
    <row r="46" spans="2:7">
      <c r="C46" t="s">
        <v>71</v>
      </c>
      <c r="D46" t="s">
        <v>72</v>
      </c>
      <c r="E46">
        <v>1</v>
      </c>
      <c r="F46" t="s">
        <v>542</v>
      </c>
      <c r="G46" t="s">
        <v>316</v>
      </c>
    </row>
    <row r="47" spans="2:7">
      <c r="B47" t="s">
        <v>186</v>
      </c>
      <c r="E47">
        <v>9</v>
      </c>
    </row>
    <row r="48" spans="2:7">
      <c r="C48" t="s">
        <v>184</v>
      </c>
      <c r="D48" t="s">
        <v>185</v>
      </c>
      <c r="E48">
        <v>9</v>
      </c>
      <c r="F48" t="s">
        <v>543</v>
      </c>
      <c r="G48" t="s">
        <v>312</v>
      </c>
    </row>
    <row r="49" spans="1:7">
      <c r="B49" t="s">
        <v>187</v>
      </c>
      <c r="E49">
        <v>3</v>
      </c>
    </row>
    <row r="50" spans="1:7">
      <c r="C50" t="s">
        <v>73</v>
      </c>
      <c r="D50" t="s">
        <v>0</v>
      </c>
      <c r="E50">
        <v>3</v>
      </c>
      <c r="F50" t="s">
        <v>544</v>
      </c>
      <c r="G50" t="s">
        <v>316</v>
      </c>
    </row>
    <row r="51" spans="1:7">
      <c r="C51" t="s">
        <v>74</v>
      </c>
      <c r="D51" t="s">
        <v>75</v>
      </c>
      <c r="E51">
        <v>3</v>
      </c>
      <c r="F51" t="s">
        <v>545</v>
      </c>
      <c r="G51" t="s">
        <v>316</v>
      </c>
    </row>
    <row r="52" spans="1:7">
      <c r="A52" t="s">
        <v>76</v>
      </c>
      <c r="E52">
        <v>18</v>
      </c>
    </row>
    <row r="53" spans="1:7">
      <c r="B53" t="s">
        <v>187</v>
      </c>
      <c r="E53">
        <v>15</v>
      </c>
    </row>
    <row r="54" spans="1:7">
      <c r="C54" t="s">
        <v>199</v>
      </c>
      <c r="D54" t="s">
        <v>497</v>
      </c>
      <c r="E54">
        <v>3</v>
      </c>
      <c r="F54" t="s">
        <v>619</v>
      </c>
      <c r="G54" t="s">
        <v>317</v>
      </c>
    </row>
    <row r="55" spans="1:7">
      <c r="C55" t="s">
        <v>201</v>
      </c>
      <c r="D55" t="s">
        <v>497</v>
      </c>
      <c r="E55">
        <v>3</v>
      </c>
      <c r="F55" t="s">
        <v>620</v>
      </c>
      <c r="G55" t="s">
        <v>317</v>
      </c>
    </row>
    <row r="56" spans="1:7">
      <c r="C56" t="s">
        <v>202</v>
      </c>
      <c r="D56" t="s">
        <v>497</v>
      </c>
      <c r="E56">
        <v>3</v>
      </c>
      <c r="F56" t="s">
        <v>621</v>
      </c>
      <c r="G56" t="s">
        <v>317</v>
      </c>
    </row>
    <row r="57" spans="1:7">
      <c r="C57" t="s">
        <v>203</v>
      </c>
      <c r="D57" t="s">
        <v>497</v>
      </c>
      <c r="E57">
        <v>3</v>
      </c>
      <c r="F57" t="s">
        <v>622</v>
      </c>
      <c r="G57" t="s">
        <v>317</v>
      </c>
    </row>
    <row r="58" spans="1:7">
      <c r="C58" t="s">
        <v>197</v>
      </c>
      <c r="D58" t="s">
        <v>497</v>
      </c>
      <c r="E58">
        <v>3</v>
      </c>
      <c r="F58" t="s">
        <v>623</v>
      </c>
      <c r="G58" t="s">
        <v>317</v>
      </c>
    </row>
    <row r="59" spans="1:7">
      <c r="C59" t="s">
        <v>77</v>
      </c>
      <c r="D59" t="s">
        <v>78</v>
      </c>
      <c r="E59">
        <v>3</v>
      </c>
      <c r="F59" t="s">
        <v>546</v>
      </c>
      <c r="G59" t="s">
        <v>317</v>
      </c>
    </row>
    <row r="60" spans="1:7">
      <c r="C60" t="s">
        <v>79</v>
      </c>
      <c r="D60" t="s">
        <v>80</v>
      </c>
      <c r="E60">
        <v>3</v>
      </c>
      <c r="F60" t="s">
        <v>547</v>
      </c>
      <c r="G60" t="s">
        <v>317</v>
      </c>
    </row>
    <row r="61" spans="1:7">
      <c r="C61" t="s">
        <v>81</v>
      </c>
      <c r="D61" t="s">
        <v>82</v>
      </c>
      <c r="E61">
        <v>3</v>
      </c>
      <c r="F61" t="s">
        <v>548</v>
      </c>
      <c r="G61" t="s">
        <v>317</v>
      </c>
    </row>
    <row r="62" spans="1:7">
      <c r="C62" t="s">
        <v>83</v>
      </c>
      <c r="D62" t="s">
        <v>84</v>
      </c>
      <c r="E62">
        <v>3</v>
      </c>
      <c r="F62" t="s">
        <v>549</v>
      </c>
      <c r="G62" t="s">
        <v>317</v>
      </c>
    </row>
    <row r="63" spans="1:7">
      <c r="C63" t="s">
        <v>85</v>
      </c>
      <c r="D63" t="s">
        <v>86</v>
      </c>
      <c r="E63">
        <v>3</v>
      </c>
      <c r="F63" t="s">
        <v>550</v>
      </c>
      <c r="G63" t="s">
        <v>317</v>
      </c>
    </row>
    <row r="64" spans="1:7">
      <c r="C64" t="s">
        <v>87</v>
      </c>
      <c r="D64" t="s">
        <v>88</v>
      </c>
      <c r="E64">
        <v>3</v>
      </c>
      <c r="F64" t="s">
        <v>551</v>
      </c>
      <c r="G64" t="s">
        <v>317</v>
      </c>
    </row>
    <row r="65" spans="3:7">
      <c r="C65" t="s">
        <v>89</v>
      </c>
      <c r="D65" t="s">
        <v>90</v>
      </c>
      <c r="E65">
        <v>3</v>
      </c>
      <c r="F65" t="s">
        <v>552</v>
      </c>
      <c r="G65" t="s">
        <v>317</v>
      </c>
    </row>
    <row r="66" spans="3:7">
      <c r="C66" t="s">
        <v>91</v>
      </c>
      <c r="D66" t="s">
        <v>92</v>
      </c>
      <c r="E66">
        <v>3</v>
      </c>
      <c r="F66" t="s">
        <v>553</v>
      </c>
      <c r="G66" t="s">
        <v>317</v>
      </c>
    </row>
    <row r="67" spans="3:7">
      <c r="C67" t="s">
        <v>93</v>
      </c>
      <c r="D67" t="s">
        <v>94</v>
      </c>
      <c r="E67">
        <v>3</v>
      </c>
      <c r="F67" t="s">
        <v>554</v>
      </c>
      <c r="G67" t="s">
        <v>317</v>
      </c>
    </row>
    <row r="68" spans="3:7">
      <c r="C68" t="s">
        <v>95</v>
      </c>
      <c r="D68" t="s">
        <v>96</v>
      </c>
      <c r="E68">
        <v>3</v>
      </c>
      <c r="F68" t="s">
        <v>555</v>
      </c>
      <c r="G68" t="s">
        <v>317</v>
      </c>
    </row>
    <row r="69" spans="3:7">
      <c r="C69" t="s">
        <v>97</v>
      </c>
      <c r="D69" t="s">
        <v>98</v>
      </c>
      <c r="E69">
        <v>4</v>
      </c>
      <c r="F69" t="s">
        <v>556</v>
      </c>
      <c r="G69" t="s">
        <v>317</v>
      </c>
    </row>
    <row r="70" spans="3:7">
      <c r="C70" t="s">
        <v>99</v>
      </c>
      <c r="D70" t="s">
        <v>100</v>
      </c>
      <c r="E70">
        <v>3</v>
      </c>
      <c r="F70" t="s">
        <v>557</v>
      </c>
      <c r="G70" t="s">
        <v>317</v>
      </c>
    </row>
    <row r="71" spans="3:7">
      <c r="C71" t="s">
        <v>101</v>
      </c>
      <c r="D71" t="s">
        <v>102</v>
      </c>
      <c r="E71">
        <v>0</v>
      </c>
      <c r="F71" t="s">
        <v>558</v>
      </c>
      <c r="G71" t="s">
        <v>317</v>
      </c>
    </row>
    <row r="72" spans="3:7">
      <c r="C72" t="s">
        <v>103</v>
      </c>
      <c r="D72" t="s">
        <v>104</v>
      </c>
      <c r="E72">
        <v>3</v>
      </c>
      <c r="F72" t="s">
        <v>559</v>
      </c>
      <c r="G72" t="s">
        <v>317</v>
      </c>
    </row>
    <row r="73" spans="3:7">
      <c r="C73" t="s">
        <v>105</v>
      </c>
      <c r="D73" t="s">
        <v>106</v>
      </c>
      <c r="E73">
        <v>3</v>
      </c>
      <c r="F73" t="s">
        <v>560</v>
      </c>
      <c r="G73" t="s">
        <v>317</v>
      </c>
    </row>
    <row r="74" spans="3:7">
      <c r="C74" t="s">
        <v>12</v>
      </c>
      <c r="D74" t="s">
        <v>107</v>
      </c>
      <c r="E74">
        <v>3</v>
      </c>
      <c r="F74" t="s">
        <v>561</v>
      </c>
      <c r="G74" t="s">
        <v>317</v>
      </c>
    </row>
    <row r="75" spans="3:7">
      <c r="C75" t="s">
        <v>108</v>
      </c>
      <c r="D75" t="s">
        <v>109</v>
      </c>
      <c r="E75">
        <v>3</v>
      </c>
      <c r="F75" t="s">
        <v>562</v>
      </c>
      <c r="G75" t="s">
        <v>317</v>
      </c>
    </row>
    <row r="76" spans="3:7">
      <c r="C76" t="s">
        <v>110</v>
      </c>
      <c r="D76" t="s">
        <v>111</v>
      </c>
      <c r="E76">
        <v>3</v>
      </c>
      <c r="F76" t="s">
        <v>563</v>
      </c>
      <c r="G76" t="s">
        <v>317</v>
      </c>
    </row>
    <row r="77" spans="3:7">
      <c r="C77" t="s">
        <v>112</v>
      </c>
      <c r="D77" t="s">
        <v>113</v>
      </c>
      <c r="E77">
        <v>3</v>
      </c>
      <c r="F77" t="s">
        <v>560</v>
      </c>
      <c r="G77" t="s">
        <v>317</v>
      </c>
    </row>
    <row r="78" spans="3:7">
      <c r="C78" t="s">
        <v>114</v>
      </c>
      <c r="D78" t="s">
        <v>115</v>
      </c>
      <c r="E78">
        <v>3</v>
      </c>
      <c r="F78" t="s">
        <v>564</v>
      </c>
      <c r="G78" t="s">
        <v>317</v>
      </c>
    </row>
    <row r="79" spans="3:7">
      <c r="C79" t="s">
        <v>116</v>
      </c>
      <c r="D79" t="s">
        <v>117</v>
      </c>
      <c r="E79">
        <v>3</v>
      </c>
      <c r="F79" t="s">
        <v>565</v>
      </c>
      <c r="G79" t="s">
        <v>317</v>
      </c>
    </row>
    <row r="80" spans="3:7">
      <c r="C80" t="s">
        <v>118</v>
      </c>
      <c r="D80" t="s">
        <v>119</v>
      </c>
      <c r="E80">
        <v>3</v>
      </c>
      <c r="F80" t="s">
        <v>566</v>
      </c>
      <c r="G80" t="s">
        <v>317</v>
      </c>
    </row>
    <row r="81" spans="3:7">
      <c r="C81" t="s">
        <v>120</v>
      </c>
      <c r="D81" t="s">
        <v>121</v>
      </c>
      <c r="E81">
        <v>3</v>
      </c>
      <c r="F81" t="s">
        <v>567</v>
      </c>
      <c r="G81" t="s">
        <v>317</v>
      </c>
    </row>
    <row r="82" spans="3:7">
      <c r="C82" t="s">
        <v>122</v>
      </c>
      <c r="D82" t="s">
        <v>123</v>
      </c>
      <c r="E82">
        <v>3</v>
      </c>
      <c r="F82" t="s">
        <v>568</v>
      </c>
      <c r="G82" t="s">
        <v>317</v>
      </c>
    </row>
    <row r="83" spans="3:7">
      <c r="C83" t="s">
        <v>124</v>
      </c>
      <c r="D83" t="s">
        <v>125</v>
      </c>
      <c r="E83">
        <v>3</v>
      </c>
      <c r="F83" t="s">
        <v>569</v>
      </c>
      <c r="G83" t="s">
        <v>317</v>
      </c>
    </row>
    <row r="84" spans="3:7">
      <c r="C84" t="s">
        <v>126</v>
      </c>
      <c r="D84" t="s">
        <v>127</v>
      </c>
      <c r="E84">
        <v>3</v>
      </c>
      <c r="F84" t="s">
        <v>570</v>
      </c>
      <c r="G84" t="s">
        <v>317</v>
      </c>
    </row>
    <row r="85" spans="3:7">
      <c r="C85" t="s">
        <v>128</v>
      </c>
      <c r="D85" t="s">
        <v>129</v>
      </c>
      <c r="E85">
        <v>3</v>
      </c>
      <c r="F85" t="s">
        <v>571</v>
      </c>
      <c r="G85" t="s">
        <v>317</v>
      </c>
    </row>
    <row r="86" spans="3:7">
      <c r="C86" t="s">
        <v>130</v>
      </c>
      <c r="D86" t="s">
        <v>131</v>
      </c>
      <c r="E86">
        <v>3</v>
      </c>
      <c r="F86" t="s">
        <v>572</v>
      </c>
      <c r="G86" t="s">
        <v>317</v>
      </c>
    </row>
    <row r="87" spans="3:7">
      <c r="C87" t="s">
        <v>132</v>
      </c>
      <c r="D87" t="s">
        <v>133</v>
      </c>
      <c r="E87">
        <v>3</v>
      </c>
      <c r="F87" t="s">
        <v>573</v>
      </c>
      <c r="G87" t="s">
        <v>317</v>
      </c>
    </row>
    <row r="88" spans="3:7">
      <c r="C88" t="s">
        <v>134</v>
      </c>
      <c r="D88" t="s">
        <v>135</v>
      </c>
      <c r="E88">
        <v>3</v>
      </c>
      <c r="F88" t="s">
        <v>574</v>
      </c>
      <c r="G88" t="s">
        <v>317</v>
      </c>
    </row>
    <row r="89" spans="3:7">
      <c r="C89" t="s">
        <v>136</v>
      </c>
      <c r="D89" t="s">
        <v>137</v>
      </c>
      <c r="E89">
        <v>3</v>
      </c>
      <c r="F89" t="s">
        <v>575</v>
      </c>
      <c r="G89" t="s">
        <v>317</v>
      </c>
    </row>
    <row r="90" spans="3:7">
      <c r="C90" t="s">
        <v>138</v>
      </c>
      <c r="D90" t="s">
        <v>139</v>
      </c>
      <c r="E90">
        <v>3</v>
      </c>
      <c r="F90" t="s">
        <v>576</v>
      </c>
      <c r="G90" t="s">
        <v>317</v>
      </c>
    </row>
    <row r="91" spans="3:7">
      <c r="C91" t="s">
        <v>140</v>
      </c>
      <c r="D91" t="s">
        <v>141</v>
      </c>
      <c r="E91">
        <v>3</v>
      </c>
      <c r="F91" t="s">
        <v>577</v>
      </c>
      <c r="G91" t="s">
        <v>317</v>
      </c>
    </row>
    <row r="92" spans="3:7">
      <c r="C92" t="s">
        <v>142</v>
      </c>
      <c r="D92" t="s">
        <v>143</v>
      </c>
      <c r="E92">
        <v>3</v>
      </c>
      <c r="F92" t="s">
        <v>578</v>
      </c>
      <c r="G92" t="s">
        <v>317</v>
      </c>
    </row>
    <row r="93" spans="3:7">
      <c r="C93" t="s">
        <v>144</v>
      </c>
      <c r="D93" t="s">
        <v>145</v>
      </c>
      <c r="E93">
        <v>3</v>
      </c>
      <c r="F93" t="s">
        <v>145</v>
      </c>
      <c r="G93" t="s">
        <v>317</v>
      </c>
    </row>
    <row r="94" spans="3:7">
      <c r="C94" t="s">
        <v>146</v>
      </c>
      <c r="D94" t="s">
        <v>147</v>
      </c>
      <c r="E94">
        <v>3</v>
      </c>
      <c r="F94" t="s">
        <v>579</v>
      </c>
      <c r="G94" t="s">
        <v>317</v>
      </c>
    </row>
    <row r="95" spans="3:7">
      <c r="C95" t="s">
        <v>101</v>
      </c>
      <c r="D95" t="s">
        <v>102</v>
      </c>
      <c r="E95">
        <v>0</v>
      </c>
      <c r="F95" t="s">
        <v>558</v>
      </c>
      <c r="G95" t="s">
        <v>317</v>
      </c>
    </row>
    <row r="96" spans="3:7">
      <c r="C96" t="s">
        <v>148</v>
      </c>
      <c r="D96" t="s">
        <v>149</v>
      </c>
      <c r="E96">
        <v>3</v>
      </c>
      <c r="F96" t="s">
        <v>580</v>
      </c>
      <c r="G96" t="s">
        <v>317</v>
      </c>
    </row>
    <row r="97" spans="1:7">
      <c r="C97" t="s">
        <v>150</v>
      </c>
      <c r="D97" t="s">
        <v>151</v>
      </c>
      <c r="E97">
        <v>3</v>
      </c>
      <c r="F97" t="s">
        <v>581</v>
      </c>
      <c r="G97" t="s">
        <v>317</v>
      </c>
    </row>
    <row r="98" spans="1:7">
      <c r="C98" t="s">
        <v>152</v>
      </c>
      <c r="D98" t="s">
        <v>153</v>
      </c>
      <c r="E98">
        <v>3</v>
      </c>
      <c r="F98" t="s">
        <v>582</v>
      </c>
      <c r="G98" t="s">
        <v>317</v>
      </c>
    </row>
    <row r="99" spans="1:7">
      <c r="C99" t="s">
        <v>154</v>
      </c>
      <c r="D99" t="s">
        <v>155</v>
      </c>
      <c r="E99">
        <v>4</v>
      </c>
      <c r="F99" t="s">
        <v>583</v>
      </c>
      <c r="G99" t="s">
        <v>317</v>
      </c>
    </row>
    <row r="100" spans="1:7">
      <c r="C100" t="s">
        <v>156</v>
      </c>
      <c r="D100" t="s">
        <v>157</v>
      </c>
      <c r="E100">
        <v>3</v>
      </c>
      <c r="F100" t="s">
        <v>584</v>
      </c>
      <c r="G100" t="s">
        <v>317</v>
      </c>
    </row>
    <row r="101" spans="1:7">
      <c r="C101" t="s">
        <v>158</v>
      </c>
      <c r="D101" t="s">
        <v>159</v>
      </c>
      <c r="E101">
        <v>3</v>
      </c>
      <c r="F101" t="s">
        <v>585</v>
      </c>
      <c r="G101" t="s">
        <v>317</v>
      </c>
    </row>
    <row r="102" spans="1:7">
      <c r="C102" t="s">
        <v>160</v>
      </c>
      <c r="D102" t="s">
        <v>161</v>
      </c>
      <c r="E102">
        <v>3</v>
      </c>
      <c r="F102" t="s">
        <v>586</v>
      </c>
      <c r="G102" t="s">
        <v>317</v>
      </c>
    </row>
    <row r="103" spans="1:7">
      <c r="C103" t="s">
        <v>162</v>
      </c>
      <c r="D103" t="s">
        <v>163</v>
      </c>
      <c r="E103">
        <v>3</v>
      </c>
      <c r="F103" t="s">
        <v>587</v>
      </c>
      <c r="G103" t="s">
        <v>317</v>
      </c>
    </row>
    <row r="104" spans="1:7">
      <c r="C104" t="s">
        <v>164</v>
      </c>
      <c r="D104" t="s">
        <v>165</v>
      </c>
      <c r="E104">
        <v>3</v>
      </c>
      <c r="F104" t="s">
        <v>588</v>
      </c>
      <c r="G104" t="s">
        <v>317</v>
      </c>
    </row>
    <row r="105" spans="1:7">
      <c r="C105" t="s">
        <v>166</v>
      </c>
      <c r="D105" t="s">
        <v>167</v>
      </c>
      <c r="E105">
        <v>3</v>
      </c>
      <c r="F105" t="s">
        <v>589</v>
      </c>
      <c r="G105" t="s">
        <v>317</v>
      </c>
    </row>
    <row r="106" spans="1:7">
      <c r="C106" t="s">
        <v>168</v>
      </c>
      <c r="D106" t="s">
        <v>169</v>
      </c>
      <c r="E106">
        <v>3</v>
      </c>
      <c r="F106" t="s">
        <v>590</v>
      </c>
      <c r="G106" t="s">
        <v>317</v>
      </c>
    </row>
    <row r="107" spans="1:7">
      <c r="C107" t="s">
        <v>170</v>
      </c>
      <c r="D107" t="s">
        <v>171</v>
      </c>
      <c r="E107">
        <v>3</v>
      </c>
      <c r="F107" t="s">
        <v>591</v>
      </c>
      <c r="G107" t="s">
        <v>317</v>
      </c>
    </row>
    <row r="108" spans="1:7">
      <c r="C108" t="s">
        <v>172</v>
      </c>
      <c r="D108" t="s">
        <v>173</v>
      </c>
      <c r="E108">
        <v>3</v>
      </c>
      <c r="F108" t="s">
        <v>592</v>
      </c>
      <c r="G108" t="s">
        <v>317</v>
      </c>
    </row>
    <row r="109" spans="1:7">
      <c r="C109" t="s">
        <v>174</v>
      </c>
      <c r="D109" t="s">
        <v>175</v>
      </c>
      <c r="E109">
        <v>3</v>
      </c>
      <c r="F109" t="s">
        <v>593</v>
      </c>
      <c r="G109" t="s">
        <v>317</v>
      </c>
    </row>
    <row r="110" spans="1:7">
      <c r="B110" t="s">
        <v>190</v>
      </c>
      <c r="E110">
        <v>3</v>
      </c>
    </row>
    <row r="111" spans="1:7">
      <c r="C111" t="s">
        <v>188</v>
      </c>
      <c r="D111" t="s">
        <v>189</v>
      </c>
      <c r="E111">
        <v>3</v>
      </c>
    </row>
    <row r="112" spans="1:7">
      <c r="A112" t="s">
        <v>176</v>
      </c>
      <c r="E112">
        <v>18</v>
      </c>
    </row>
    <row r="113" spans="2:7">
      <c r="B113" t="s">
        <v>183</v>
      </c>
      <c r="E113">
        <v>3</v>
      </c>
    </row>
    <row r="114" spans="2:7">
      <c r="C114" t="s">
        <v>156</v>
      </c>
      <c r="D114" t="s">
        <v>157</v>
      </c>
      <c r="E114">
        <v>3</v>
      </c>
      <c r="F114" t="s">
        <v>584</v>
      </c>
      <c r="G114" t="s">
        <v>317</v>
      </c>
    </row>
    <row r="115" spans="2:7">
      <c r="B115" t="s">
        <v>187</v>
      </c>
      <c r="E115">
        <v>12</v>
      </c>
    </row>
    <row r="116" spans="2:7">
      <c r="C116" t="s">
        <v>146</v>
      </c>
      <c r="D116" t="s">
        <v>147</v>
      </c>
      <c r="E116">
        <v>3</v>
      </c>
      <c r="F116" t="s">
        <v>579</v>
      </c>
      <c r="G116" t="s">
        <v>317</v>
      </c>
    </row>
    <row r="117" spans="2:7">
      <c r="C117" t="s">
        <v>148</v>
      </c>
      <c r="D117" t="s">
        <v>149</v>
      </c>
      <c r="E117">
        <v>3</v>
      </c>
      <c r="F117" t="s">
        <v>580</v>
      </c>
      <c r="G117" t="s">
        <v>317</v>
      </c>
    </row>
    <row r="118" spans="2:7">
      <c r="C118" t="s">
        <v>130</v>
      </c>
      <c r="D118" t="s">
        <v>131</v>
      </c>
      <c r="E118">
        <v>3</v>
      </c>
      <c r="F118" t="s">
        <v>572</v>
      </c>
      <c r="G118" t="s">
        <v>317</v>
      </c>
    </row>
    <row r="119" spans="2:7">
      <c r="C119" t="s">
        <v>150</v>
      </c>
      <c r="D119" t="s">
        <v>151</v>
      </c>
      <c r="E119">
        <v>3</v>
      </c>
      <c r="F119" t="s">
        <v>581</v>
      </c>
      <c r="G119" t="s">
        <v>317</v>
      </c>
    </row>
    <row r="120" spans="2:7">
      <c r="C120" t="s">
        <v>152</v>
      </c>
      <c r="D120" t="s">
        <v>153</v>
      </c>
      <c r="E120">
        <v>3</v>
      </c>
      <c r="F120" t="s">
        <v>582</v>
      </c>
      <c r="G120" t="s">
        <v>317</v>
      </c>
    </row>
    <row r="121" spans="2:7">
      <c r="C121" t="s">
        <v>154</v>
      </c>
      <c r="D121" t="s">
        <v>155</v>
      </c>
      <c r="E121">
        <v>4</v>
      </c>
      <c r="F121" t="s">
        <v>583</v>
      </c>
      <c r="G121" t="s">
        <v>317</v>
      </c>
    </row>
    <row r="122" spans="2:7">
      <c r="C122" t="s">
        <v>172</v>
      </c>
      <c r="D122" t="s">
        <v>173</v>
      </c>
      <c r="E122">
        <v>3</v>
      </c>
      <c r="F122" t="s">
        <v>592</v>
      </c>
      <c r="G122" t="s">
        <v>317</v>
      </c>
    </row>
    <row r="123" spans="2:7">
      <c r="C123" t="s">
        <v>174</v>
      </c>
      <c r="D123" t="s">
        <v>175</v>
      </c>
      <c r="E123">
        <v>3</v>
      </c>
      <c r="F123" t="s">
        <v>593</v>
      </c>
      <c r="G123" t="s">
        <v>317</v>
      </c>
    </row>
    <row r="124" spans="2:7">
      <c r="C124" t="s">
        <v>164</v>
      </c>
      <c r="D124" t="s">
        <v>165</v>
      </c>
      <c r="E124">
        <v>3</v>
      </c>
      <c r="F124" t="s">
        <v>588</v>
      </c>
      <c r="G124" t="s">
        <v>317</v>
      </c>
    </row>
    <row r="125" spans="2:7">
      <c r="C125" t="s">
        <v>168</v>
      </c>
      <c r="D125" t="s">
        <v>169</v>
      </c>
      <c r="E125">
        <v>3</v>
      </c>
      <c r="F125" t="s">
        <v>590</v>
      </c>
      <c r="G125" t="s">
        <v>317</v>
      </c>
    </row>
    <row r="126" spans="2:7">
      <c r="C126" t="s">
        <v>124</v>
      </c>
      <c r="D126" t="s">
        <v>125</v>
      </c>
      <c r="E126">
        <v>3</v>
      </c>
      <c r="F126" t="s">
        <v>569</v>
      </c>
      <c r="G126" t="s">
        <v>317</v>
      </c>
    </row>
    <row r="127" spans="2:7">
      <c r="B127" t="s">
        <v>190</v>
      </c>
      <c r="E127">
        <v>3</v>
      </c>
    </row>
    <row r="128" spans="2:7">
      <c r="C128" t="s">
        <v>188</v>
      </c>
      <c r="D128" t="s">
        <v>189</v>
      </c>
      <c r="E128">
        <v>3</v>
      </c>
    </row>
    <row r="129" spans="1:7">
      <c r="A129" t="s">
        <v>191</v>
      </c>
      <c r="E129">
        <v>18</v>
      </c>
    </row>
    <row r="130" spans="1:7">
      <c r="B130" t="s">
        <v>183</v>
      </c>
      <c r="E130">
        <v>6</v>
      </c>
    </row>
    <row r="131" spans="1:7">
      <c r="C131" t="s">
        <v>103</v>
      </c>
      <c r="D131" t="s">
        <v>104</v>
      </c>
      <c r="E131">
        <v>3</v>
      </c>
      <c r="F131" t="s">
        <v>559</v>
      </c>
      <c r="G131" t="s">
        <v>317</v>
      </c>
    </row>
    <row r="132" spans="1:7">
      <c r="C132" t="s">
        <v>105</v>
      </c>
      <c r="D132" t="s">
        <v>106</v>
      </c>
      <c r="E132">
        <v>3</v>
      </c>
      <c r="F132" t="s">
        <v>560</v>
      </c>
      <c r="G132" t="s">
        <v>317</v>
      </c>
    </row>
    <row r="133" spans="1:7">
      <c r="B133" t="s">
        <v>187</v>
      </c>
      <c r="E133">
        <v>9</v>
      </c>
    </row>
    <row r="134" spans="1:7">
      <c r="C134" t="s">
        <v>177</v>
      </c>
      <c r="D134" t="s">
        <v>178</v>
      </c>
      <c r="E134">
        <v>3</v>
      </c>
      <c r="F134" t="s">
        <v>594</v>
      </c>
      <c r="G134" t="s">
        <v>317</v>
      </c>
    </row>
    <row r="135" spans="1:7">
      <c r="C135" t="s">
        <v>91</v>
      </c>
      <c r="D135" t="s">
        <v>92</v>
      </c>
      <c r="E135">
        <v>3</v>
      </c>
      <c r="F135" t="s">
        <v>553</v>
      </c>
      <c r="G135" t="s">
        <v>317</v>
      </c>
    </row>
    <row r="136" spans="1:7">
      <c r="C136" t="s">
        <v>179</v>
      </c>
      <c r="D136" t="s">
        <v>180</v>
      </c>
      <c r="E136">
        <v>3</v>
      </c>
      <c r="F136" t="s">
        <v>595</v>
      </c>
      <c r="G136" t="s">
        <v>317</v>
      </c>
    </row>
    <row r="137" spans="1:7">
      <c r="C137" t="s">
        <v>93</v>
      </c>
      <c r="D137" t="s">
        <v>94</v>
      </c>
      <c r="E137">
        <v>3</v>
      </c>
      <c r="F137" t="s">
        <v>554</v>
      </c>
      <c r="G137" t="s">
        <v>317</v>
      </c>
    </row>
    <row r="138" spans="1:7">
      <c r="C138" t="s">
        <v>95</v>
      </c>
      <c r="D138" t="s">
        <v>96</v>
      </c>
      <c r="E138">
        <v>3</v>
      </c>
      <c r="F138" t="s">
        <v>555</v>
      </c>
      <c r="G138" t="s">
        <v>317</v>
      </c>
    </row>
    <row r="139" spans="1:7">
      <c r="C139" t="s">
        <v>181</v>
      </c>
      <c r="D139" t="s">
        <v>182</v>
      </c>
      <c r="E139">
        <v>3</v>
      </c>
      <c r="F139" t="s">
        <v>596</v>
      </c>
      <c r="G139" t="s">
        <v>317</v>
      </c>
    </row>
    <row r="140" spans="1:7">
      <c r="C140" t="s">
        <v>97</v>
      </c>
      <c r="D140" t="s">
        <v>98</v>
      </c>
      <c r="E140">
        <v>4</v>
      </c>
      <c r="F140" t="s">
        <v>556</v>
      </c>
      <c r="G140" t="s">
        <v>317</v>
      </c>
    </row>
    <row r="141" spans="1:7">
      <c r="C141" t="s">
        <v>99</v>
      </c>
      <c r="D141" t="s">
        <v>100</v>
      </c>
      <c r="E141">
        <v>3</v>
      </c>
      <c r="F141" t="s">
        <v>557</v>
      </c>
      <c r="G141" t="s">
        <v>317</v>
      </c>
    </row>
    <row r="142" spans="1:7">
      <c r="C142" t="s">
        <v>101</v>
      </c>
      <c r="D142" t="s">
        <v>102</v>
      </c>
      <c r="E142">
        <v>0</v>
      </c>
      <c r="F142" t="s">
        <v>558</v>
      </c>
      <c r="G142" t="s">
        <v>317</v>
      </c>
    </row>
    <row r="143" spans="1:7">
      <c r="C143" t="s">
        <v>174</v>
      </c>
      <c r="D143" t="s">
        <v>175</v>
      </c>
      <c r="E143">
        <v>3</v>
      </c>
      <c r="F143" t="s">
        <v>592</v>
      </c>
      <c r="G143" t="s">
        <v>317</v>
      </c>
    </row>
    <row r="144" spans="1:7">
      <c r="C144" t="s">
        <v>172</v>
      </c>
      <c r="D144" t="s">
        <v>173</v>
      </c>
      <c r="E144">
        <v>3</v>
      </c>
      <c r="F144" t="s">
        <v>593</v>
      </c>
      <c r="G144" t="s">
        <v>317</v>
      </c>
    </row>
    <row r="145" spans="1:7">
      <c r="C145" t="s">
        <v>168</v>
      </c>
      <c r="D145" t="s">
        <v>169</v>
      </c>
      <c r="E145">
        <v>3</v>
      </c>
      <c r="F145" t="s">
        <v>590</v>
      </c>
      <c r="G145" t="s">
        <v>317</v>
      </c>
    </row>
    <row r="146" spans="1:7">
      <c r="B146" t="s">
        <v>190</v>
      </c>
      <c r="E146">
        <v>3</v>
      </c>
    </row>
    <row r="147" spans="1:7">
      <c r="C147" t="s">
        <v>188</v>
      </c>
      <c r="D147" t="s">
        <v>189</v>
      </c>
      <c r="E147">
        <v>3</v>
      </c>
    </row>
    <row r="148" spans="1:7">
      <c r="A148" t="s">
        <v>192</v>
      </c>
      <c r="E148">
        <v>18</v>
      </c>
    </row>
    <row r="149" spans="1:7">
      <c r="B149" t="s">
        <v>183</v>
      </c>
      <c r="E149">
        <v>9</v>
      </c>
    </row>
    <row r="150" spans="1:7">
      <c r="C150" t="s">
        <v>87</v>
      </c>
      <c r="D150" t="s">
        <v>88</v>
      </c>
      <c r="E150">
        <v>3</v>
      </c>
      <c r="F150" t="s">
        <v>551</v>
      </c>
      <c r="G150" t="s">
        <v>317</v>
      </c>
    </row>
    <row r="151" spans="1:7">
      <c r="C151" t="s">
        <v>193</v>
      </c>
      <c r="D151" t="s">
        <v>298</v>
      </c>
      <c r="E151">
        <v>3</v>
      </c>
      <c r="F151" t="s">
        <v>597</v>
      </c>
      <c r="G151" t="s">
        <v>317</v>
      </c>
    </row>
    <row r="152" spans="1:7">
      <c r="C152" t="s">
        <v>194</v>
      </c>
      <c r="D152" t="s">
        <v>299</v>
      </c>
      <c r="E152">
        <v>3</v>
      </c>
      <c r="F152" t="s">
        <v>598</v>
      </c>
      <c r="G152" t="s">
        <v>317</v>
      </c>
    </row>
    <row r="153" spans="1:7">
      <c r="B153" t="s">
        <v>187</v>
      </c>
      <c r="E153">
        <v>3</v>
      </c>
    </row>
    <row r="154" spans="1:7">
      <c r="C154" t="s">
        <v>195</v>
      </c>
      <c r="D154" t="s">
        <v>300</v>
      </c>
      <c r="E154">
        <v>3</v>
      </c>
      <c r="F154" t="s">
        <v>599</v>
      </c>
      <c r="G154" t="s">
        <v>317</v>
      </c>
    </row>
    <row r="155" spans="1:7">
      <c r="C155" t="s">
        <v>89</v>
      </c>
      <c r="D155" t="s">
        <v>90</v>
      </c>
      <c r="E155">
        <v>3</v>
      </c>
      <c r="F155" t="s">
        <v>552</v>
      </c>
      <c r="G155" t="s">
        <v>317</v>
      </c>
    </row>
    <row r="156" spans="1:7">
      <c r="B156" t="s">
        <v>190</v>
      </c>
      <c r="E156">
        <v>3</v>
      </c>
    </row>
    <row r="157" spans="1:7">
      <c r="C157" t="s">
        <v>188</v>
      </c>
      <c r="D157" t="s">
        <v>189</v>
      </c>
      <c r="E157">
        <v>3</v>
      </c>
      <c r="F157" t="s">
        <v>624</v>
      </c>
      <c r="G157" t="s">
        <v>321</v>
      </c>
    </row>
    <row r="158" spans="1:7">
      <c r="B158" t="s">
        <v>196</v>
      </c>
      <c r="E158">
        <v>3</v>
      </c>
    </row>
    <row r="159" spans="1:7">
      <c r="C159" t="s">
        <v>199</v>
      </c>
      <c r="D159" t="s">
        <v>198</v>
      </c>
      <c r="E159">
        <v>3</v>
      </c>
      <c r="F159" t="s">
        <v>619</v>
      </c>
      <c r="G159" t="s">
        <v>317</v>
      </c>
    </row>
    <row r="160" spans="1:7">
      <c r="A160" t="s">
        <v>200</v>
      </c>
      <c r="E160">
        <v>18</v>
      </c>
    </row>
    <row r="161" spans="2:7">
      <c r="B161" t="s">
        <v>187</v>
      </c>
      <c r="E161">
        <v>15</v>
      </c>
    </row>
    <row r="162" spans="2:7">
      <c r="C162" t="s">
        <v>199</v>
      </c>
      <c r="D162" t="s">
        <v>204</v>
      </c>
      <c r="E162">
        <v>3</v>
      </c>
      <c r="F162" t="s">
        <v>619</v>
      </c>
      <c r="G162" t="s">
        <v>317</v>
      </c>
    </row>
    <row r="163" spans="2:7">
      <c r="C163" t="s">
        <v>201</v>
      </c>
      <c r="D163" t="s">
        <v>204</v>
      </c>
      <c r="E163">
        <v>3</v>
      </c>
      <c r="F163" t="s">
        <v>620</v>
      </c>
      <c r="G163" t="s">
        <v>317</v>
      </c>
    </row>
    <row r="164" spans="2:7">
      <c r="C164" t="s">
        <v>202</v>
      </c>
      <c r="D164" t="s">
        <v>204</v>
      </c>
      <c r="E164">
        <v>3</v>
      </c>
      <c r="F164" t="s">
        <v>621</v>
      </c>
      <c r="G164" t="s">
        <v>317</v>
      </c>
    </row>
    <row r="165" spans="2:7">
      <c r="C165" t="s">
        <v>203</v>
      </c>
      <c r="D165" t="s">
        <v>204</v>
      </c>
      <c r="E165">
        <v>3</v>
      </c>
      <c r="F165" t="s">
        <v>622</v>
      </c>
      <c r="G165" t="s">
        <v>317</v>
      </c>
    </row>
    <row r="166" spans="2:7">
      <c r="C166" t="s">
        <v>197</v>
      </c>
      <c r="D166" t="s">
        <v>205</v>
      </c>
      <c r="E166">
        <v>3</v>
      </c>
      <c r="F166" t="s">
        <v>623</v>
      </c>
      <c r="G166" t="s">
        <v>317</v>
      </c>
    </row>
    <row r="167" spans="2:7">
      <c r="B167" t="s">
        <v>190</v>
      </c>
      <c r="E167">
        <v>3</v>
      </c>
    </row>
    <row r="168" spans="2:7">
      <c r="C168" t="s">
        <v>188</v>
      </c>
      <c r="D168" t="s">
        <v>189</v>
      </c>
      <c r="E168">
        <v>3</v>
      </c>
      <c r="F168" t="s">
        <v>624</v>
      </c>
      <c r="G168" t="s">
        <v>321</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172EE-7F9B-42F3-9C49-9CDA57ED7428}">
  <sheetPr codeName="Feuil3"/>
  <dimension ref="A1:G166"/>
  <sheetViews>
    <sheetView workbookViewId="0">
      <selection activeCell="B3" sqref="B3"/>
    </sheetView>
  </sheetViews>
  <sheetFormatPr baseColWidth="10" defaultRowHeight="15"/>
  <cols>
    <col min="1" max="1" width="22" customWidth="1"/>
    <col min="2" max="2" width="21.42578125" customWidth="1"/>
    <col min="4" max="4" width="61.140625" customWidth="1"/>
  </cols>
  <sheetData>
    <row r="1" spans="1:7">
      <c r="A1" t="s">
        <v>207</v>
      </c>
      <c r="B1" t="s">
        <v>206</v>
      </c>
    </row>
    <row r="2" spans="1:7">
      <c r="A2" t="s">
        <v>208</v>
      </c>
      <c r="B2" t="s">
        <v>629</v>
      </c>
    </row>
    <row r="3" spans="1:7">
      <c r="A3" t="s">
        <v>498</v>
      </c>
    </row>
    <row r="4" spans="1:7">
      <c r="B4" t="s">
        <v>499</v>
      </c>
      <c r="E4">
        <v>18</v>
      </c>
    </row>
    <row r="5" spans="1:7">
      <c r="C5" t="s">
        <v>504</v>
      </c>
      <c r="D5" t="s">
        <v>505</v>
      </c>
      <c r="E5">
        <v>3</v>
      </c>
      <c r="F5" t="s">
        <v>611</v>
      </c>
      <c r="G5" t="s">
        <v>327</v>
      </c>
    </row>
    <row r="6" spans="1:7">
      <c r="C6" t="s">
        <v>500</v>
      </c>
      <c r="D6" t="s">
        <v>501</v>
      </c>
      <c r="E6">
        <v>4</v>
      </c>
      <c r="F6" t="s">
        <v>612</v>
      </c>
      <c r="G6" t="s">
        <v>327</v>
      </c>
    </row>
    <row r="7" spans="1:7">
      <c r="C7" t="s">
        <v>502</v>
      </c>
      <c r="D7" t="s">
        <v>503</v>
      </c>
      <c r="E7">
        <v>4</v>
      </c>
      <c r="F7" t="s">
        <v>613</v>
      </c>
      <c r="G7" t="s">
        <v>327</v>
      </c>
    </row>
    <row r="8" spans="1:7">
      <c r="C8" t="s">
        <v>608</v>
      </c>
      <c r="D8" t="s">
        <v>615</v>
      </c>
      <c r="E8">
        <v>4</v>
      </c>
      <c r="F8" t="s">
        <v>617</v>
      </c>
      <c r="G8" t="s">
        <v>327</v>
      </c>
    </row>
    <row r="9" spans="1:7">
      <c r="C9" t="s">
        <v>506</v>
      </c>
      <c r="D9" t="s">
        <v>507</v>
      </c>
      <c r="E9">
        <v>3</v>
      </c>
      <c r="F9" t="s">
        <v>618</v>
      </c>
      <c r="G9" t="s">
        <v>327</v>
      </c>
    </row>
    <row r="10" spans="1:7">
      <c r="A10" t="s">
        <v>13</v>
      </c>
    </row>
    <row r="11" spans="1:7">
      <c r="B11" t="s">
        <v>183</v>
      </c>
      <c r="E11">
        <v>99</v>
      </c>
    </row>
    <row r="12" spans="1:7">
      <c r="C12" t="s">
        <v>73</v>
      </c>
      <c r="D12" t="s">
        <v>0</v>
      </c>
      <c r="E12">
        <v>3</v>
      </c>
      <c r="F12" t="s">
        <v>544</v>
      </c>
      <c r="G12" t="s">
        <v>316</v>
      </c>
    </row>
    <row r="13" spans="1:7">
      <c r="C13" t="s">
        <v>14</v>
      </c>
      <c r="D13" t="s">
        <v>1</v>
      </c>
      <c r="E13">
        <v>3</v>
      </c>
      <c r="F13" t="s">
        <v>508</v>
      </c>
      <c r="G13" t="s">
        <v>324</v>
      </c>
    </row>
    <row r="14" spans="1:7">
      <c r="C14" t="s">
        <v>15</v>
      </c>
      <c r="D14" t="s">
        <v>2</v>
      </c>
      <c r="E14">
        <v>3</v>
      </c>
      <c r="F14" t="s">
        <v>509</v>
      </c>
      <c r="G14" t="s">
        <v>320</v>
      </c>
    </row>
    <row r="15" spans="1:7">
      <c r="C15" t="s">
        <v>16</v>
      </c>
      <c r="D15" t="s">
        <v>3</v>
      </c>
      <c r="E15">
        <v>3</v>
      </c>
      <c r="F15" t="s">
        <v>510</v>
      </c>
      <c r="G15" t="s">
        <v>316</v>
      </c>
    </row>
    <row r="16" spans="1:7">
      <c r="C16" t="s">
        <v>17</v>
      </c>
      <c r="D16" t="s">
        <v>4</v>
      </c>
      <c r="E16">
        <v>3</v>
      </c>
      <c r="F16" t="s">
        <v>511</v>
      </c>
      <c r="G16" t="s">
        <v>325</v>
      </c>
    </row>
    <row r="17" spans="3:7">
      <c r="C17" t="s">
        <v>18</v>
      </c>
      <c r="D17" t="s">
        <v>5</v>
      </c>
      <c r="E17">
        <v>3</v>
      </c>
      <c r="F17" t="s">
        <v>512</v>
      </c>
      <c r="G17" t="s">
        <v>308</v>
      </c>
    </row>
    <row r="18" spans="3:7">
      <c r="C18" t="s">
        <v>19</v>
      </c>
      <c r="D18" t="s">
        <v>6</v>
      </c>
      <c r="E18">
        <v>3</v>
      </c>
      <c r="F18" t="s">
        <v>513</v>
      </c>
      <c r="G18" t="s">
        <v>324</v>
      </c>
    </row>
    <row r="19" spans="3:7">
      <c r="C19" t="s">
        <v>20</v>
      </c>
      <c r="D19" t="s">
        <v>7</v>
      </c>
      <c r="E19">
        <v>3</v>
      </c>
      <c r="F19" t="s">
        <v>514</v>
      </c>
      <c r="G19" t="s">
        <v>325</v>
      </c>
    </row>
    <row r="20" spans="3:7">
      <c r="C20" t="s">
        <v>21</v>
      </c>
      <c r="D20" t="s">
        <v>8</v>
      </c>
      <c r="E20">
        <v>3</v>
      </c>
      <c r="F20" t="s">
        <v>515</v>
      </c>
      <c r="G20" t="s">
        <v>325</v>
      </c>
    </row>
    <row r="21" spans="3:7">
      <c r="C21" t="s">
        <v>22</v>
      </c>
      <c r="D21" t="s">
        <v>23</v>
      </c>
      <c r="E21">
        <v>3</v>
      </c>
      <c r="F21" t="s">
        <v>516</v>
      </c>
      <c r="G21" t="s">
        <v>308</v>
      </c>
    </row>
    <row r="22" spans="3:7">
      <c r="C22" t="s">
        <v>24</v>
      </c>
      <c r="D22" t="s">
        <v>25</v>
      </c>
      <c r="E22">
        <v>3</v>
      </c>
      <c r="F22" t="s">
        <v>517</v>
      </c>
      <c r="G22" t="s">
        <v>324</v>
      </c>
    </row>
    <row r="23" spans="3:7">
      <c r="C23" t="s">
        <v>26</v>
      </c>
      <c r="D23" t="s">
        <v>9</v>
      </c>
      <c r="E23">
        <v>3</v>
      </c>
      <c r="F23" t="s">
        <v>518</v>
      </c>
      <c r="G23" t="s">
        <v>324</v>
      </c>
    </row>
    <row r="24" spans="3:7">
      <c r="C24" t="s">
        <v>27</v>
      </c>
      <c r="D24" t="s">
        <v>28</v>
      </c>
      <c r="E24">
        <v>3</v>
      </c>
      <c r="F24" t="s">
        <v>519</v>
      </c>
      <c r="G24" t="s">
        <v>308</v>
      </c>
    </row>
    <row r="25" spans="3:7">
      <c r="C25" t="s">
        <v>29</v>
      </c>
      <c r="D25" t="s">
        <v>30</v>
      </c>
      <c r="E25">
        <v>3</v>
      </c>
      <c r="F25" t="s">
        <v>520</v>
      </c>
      <c r="G25" t="s">
        <v>325</v>
      </c>
    </row>
    <row r="26" spans="3:7">
      <c r="C26" t="s">
        <v>31</v>
      </c>
      <c r="D26" t="s">
        <v>10</v>
      </c>
      <c r="E26">
        <v>3</v>
      </c>
      <c r="F26" t="s">
        <v>521</v>
      </c>
      <c r="G26" t="s">
        <v>320</v>
      </c>
    </row>
    <row r="27" spans="3:7">
      <c r="C27" t="s">
        <v>32</v>
      </c>
      <c r="D27" t="s">
        <v>33</v>
      </c>
      <c r="E27">
        <v>3</v>
      </c>
      <c r="F27" t="s">
        <v>522</v>
      </c>
      <c r="G27" t="s">
        <v>308</v>
      </c>
    </row>
    <row r="28" spans="3:7">
      <c r="C28" t="s">
        <v>34</v>
      </c>
      <c r="D28" t="s">
        <v>35</v>
      </c>
      <c r="E28">
        <v>3</v>
      </c>
      <c r="F28" t="s">
        <v>523</v>
      </c>
      <c r="G28" t="s">
        <v>320</v>
      </c>
    </row>
    <row r="29" spans="3:7">
      <c r="C29" t="s">
        <v>36</v>
      </c>
      <c r="D29" t="s">
        <v>37</v>
      </c>
      <c r="E29">
        <v>3</v>
      </c>
      <c r="F29" t="s">
        <v>524</v>
      </c>
      <c r="G29" t="s">
        <v>324</v>
      </c>
    </row>
    <row r="30" spans="3:7">
      <c r="C30" t="s">
        <v>38</v>
      </c>
      <c r="D30" t="s">
        <v>39</v>
      </c>
      <c r="E30">
        <v>3</v>
      </c>
      <c r="F30" t="s">
        <v>525</v>
      </c>
      <c r="G30" t="s">
        <v>313</v>
      </c>
    </row>
    <row r="31" spans="3:7">
      <c r="C31" t="s">
        <v>40</v>
      </c>
      <c r="D31" t="s">
        <v>41</v>
      </c>
      <c r="E31">
        <v>3</v>
      </c>
      <c r="F31" t="s">
        <v>526</v>
      </c>
      <c r="G31" t="s">
        <v>308</v>
      </c>
    </row>
    <row r="32" spans="3:7">
      <c r="C32" t="s">
        <v>42</v>
      </c>
      <c r="D32" t="s">
        <v>43</v>
      </c>
      <c r="E32">
        <v>3</v>
      </c>
      <c r="F32" t="s">
        <v>527</v>
      </c>
      <c r="G32" t="s">
        <v>321</v>
      </c>
    </row>
    <row r="33" spans="2:7">
      <c r="C33" t="s">
        <v>44</v>
      </c>
      <c r="D33" t="s">
        <v>45</v>
      </c>
      <c r="E33">
        <v>3</v>
      </c>
      <c r="F33" t="s">
        <v>528</v>
      </c>
      <c r="G33" t="s">
        <v>320</v>
      </c>
    </row>
    <row r="34" spans="2:7">
      <c r="C34" t="s">
        <v>46</v>
      </c>
      <c r="D34" t="s">
        <v>47</v>
      </c>
      <c r="E34">
        <v>3</v>
      </c>
      <c r="F34" t="s">
        <v>529</v>
      </c>
      <c r="G34" t="s">
        <v>325</v>
      </c>
    </row>
    <row r="35" spans="2:7">
      <c r="C35" t="s">
        <v>48</v>
      </c>
      <c r="D35" t="s">
        <v>11</v>
      </c>
      <c r="E35">
        <v>3</v>
      </c>
      <c r="F35" t="s">
        <v>530</v>
      </c>
      <c r="G35" t="s">
        <v>324</v>
      </c>
    </row>
    <row r="36" spans="2:7">
      <c r="C36" t="s">
        <v>49</v>
      </c>
      <c r="D36" t="s">
        <v>50</v>
      </c>
      <c r="E36">
        <v>3</v>
      </c>
      <c r="F36" t="s">
        <v>531</v>
      </c>
      <c r="G36" t="s">
        <v>324</v>
      </c>
    </row>
    <row r="37" spans="2:7">
      <c r="C37" t="s">
        <v>51</v>
      </c>
      <c r="D37" t="s">
        <v>52</v>
      </c>
      <c r="E37">
        <v>3</v>
      </c>
      <c r="F37" t="s">
        <v>532</v>
      </c>
      <c r="G37" t="s">
        <v>313</v>
      </c>
    </row>
    <row r="38" spans="2:7">
      <c r="C38" t="s">
        <v>53</v>
      </c>
      <c r="D38" t="s">
        <v>54</v>
      </c>
      <c r="E38">
        <v>3</v>
      </c>
      <c r="F38" t="s">
        <v>533</v>
      </c>
      <c r="G38" t="s">
        <v>320</v>
      </c>
    </row>
    <row r="39" spans="2:7">
      <c r="C39" t="s">
        <v>55</v>
      </c>
      <c r="D39" t="s">
        <v>56</v>
      </c>
      <c r="E39">
        <v>3</v>
      </c>
      <c r="F39" t="s">
        <v>534</v>
      </c>
      <c r="G39" t="s">
        <v>313</v>
      </c>
    </row>
    <row r="40" spans="2:7">
      <c r="C40" t="s">
        <v>57</v>
      </c>
      <c r="D40" t="s">
        <v>58</v>
      </c>
      <c r="E40">
        <v>3</v>
      </c>
      <c r="F40" t="s">
        <v>535</v>
      </c>
      <c r="G40" t="s">
        <v>320</v>
      </c>
    </row>
    <row r="41" spans="2:7">
      <c r="C41" t="s">
        <v>59</v>
      </c>
      <c r="D41" t="s">
        <v>60</v>
      </c>
      <c r="E41">
        <v>3</v>
      </c>
      <c r="F41" t="s">
        <v>536</v>
      </c>
      <c r="G41" t="s">
        <v>321</v>
      </c>
    </row>
    <row r="42" spans="2:7">
      <c r="C42" t="s">
        <v>61</v>
      </c>
      <c r="D42" t="s">
        <v>62</v>
      </c>
      <c r="E42">
        <v>3</v>
      </c>
      <c r="F42" t="s">
        <v>537</v>
      </c>
      <c r="G42" t="s">
        <v>320</v>
      </c>
    </row>
    <row r="43" spans="2:7">
      <c r="C43" t="s">
        <v>63</v>
      </c>
      <c r="D43" t="s">
        <v>64</v>
      </c>
      <c r="E43">
        <v>3</v>
      </c>
      <c r="F43" t="s">
        <v>538</v>
      </c>
      <c r="G43" t="s">
        <v>321</v>
      </c>
    </row>
    <row r="44" spans="2:7">
      <c r="C44" t="s">
        <v>65</v>
      </c>
      <c r="D44" t="s">
        <v>66</v>
      </c>
      <c r="E44">
        <v>3</v>
      </c>
      <c r="F44" t="s">
        <v>539</v>
      </c>
      <c r="G44" t="s">
        <v>321</v>
      </c>
    </row>
    <row r="45" spans="2:7">
      <c r="B45" t="s">
        <v>186</v>
      </c>
      <c r="E45">
        <v>9</v>
      </c>
    </row>
    <row r="46" spans="2:7">
      <c r="C46" t="s">
        <v>184</v>
      </c>
      <c r="D46" t="s">
        <v>185</v>
      </c>
      <c r="E46">
        <v>9</v>
      </c>
      <c r="F46" t="s">
        <v>543</v>
      </c>
      <c r="G46" t="s">
        <v>312</v>
      </c>
    </row>
    <row r="47" spans="2:7">
      <c r="B47" t="s">
        <v>187</v>
      </c>
      <c r="E47">
        <v>3</v>
      </c>
    </row>
    <row r="48" spans="2:7">
      <c r="C48" t="s">
        <v>625</v>
      </c>
      <c r="D48" t="s">
        <v>627</v>
      </c>
      <c r="E48">
        <v>3</v>
      </c>
      <c r="F48" t="s">
        <v>542</v>
      </c>
      <c r="G48" t="s">
        <v>316</v>
      </c>
    </row>
    <row r="49" spans="1:7">
      <c r="C49" t="s">
        <v>626</v>
      </c>
      <c r="D49" t="s">
        <v>628</v>
      </c>
      <c r="E49">
        <v>3</v>
      </c>
      <c r="F49" t="s">
        <v>542</v>
      </c>
      <c r="G49" t="s">
        <v>316</v>
      </c>
    </row>
    <row r="50" spans="1:7">
      <c r="A50" t="s">
        <v>76</v>
      </c>
      <c r="E50">
        <v>18</v>
      </c>
    </row>
    <row r="51" spans="1:7">
      <c r="B51" t="s">
        <v>187</v>
      </c>
      <c r="E51">
        <v>15</v>
      </c>
    </row>
    <row r="52" spans="1:7">
      <c r="C52" t="s">
        <v>199</v>
      </c>
      <c r="D52" t="s">
        <v>497</v>
      </c>
      <c r="E52">
        <v>3</v>
      </c>
      <c r="F52" t="s">
        <v>619</v>
      </c>
      <c r="G52" t="s">
        <v>317</v>
      </c>
    </row>
    <row r="53" spans="1:7">
      <c r="C53" t="s">
        <v>201</v>
      </c>
      <c r="D53" t="s">
        <v>497</v>
      </c>
      <c r="E53">
        <v>3</v>
      </c>
      <c r="F53" t="s">
        <v>620</v>
      </c>
      <c r="G53" t="s">
        <v>317</v>
      </c>
    </row>
    <row r="54" spans="1:7">
      <c r="C54" t="s">
        <v>202</v>
      </c>
      <c r="D54" t="s">
        <v>497</v>
      </c>
      <c r="E54">
        <v>3</v>
      </c>
      <c r="F54" t="s">
        <v>621</v>
      </c>
      <c r="G54" t="s">
        <v>317</v>
      </c>
    </row>
    <row r="55" spans="1:7">
      <c r="C55" t="s">
        <v>203</v>
      </c>
      <c r="D55" t="s">
        <v>497</v>
      </c>
      <c r="E55">
        <v>3</v>
      </c>
      <c r="F55" t="s">
        <v>622</v>
      </c>
      <c r="G55" t="s">
        <v>317</v>
      </c>
    </row>
    <row r="56" spans="1:7">
      <c r="C56" t="s">
        <v>197</v>
      </c>
      <c r="D56" t="s">
        <v>497</v>
      </c>
      <c r="E56">
        <v>3</v>
      </c>
      <c r="F56" t="s">
        <v>623</v>
      </c>
      <c r="G56" t="s">
        <v>317</v>
      </c>
    </row>
    <row r="57" spans="1:7">
      <c r="C57" t="s">
        <v>77</v>
      </c>
      <c r="D57" t="s">
        <v>78</v>
      </c>
      <c r="E57">
        <v>3</v>
      </c>
      <c r="F57" t="s">
        <v>546</v>
      </c>
      <c r="G57" t="s">
        <v>317</v>
      </c>
    </row>
    <row r="58" spans="1:7">
      <c r="C58" t="s">
        <v>79</v>
      </c>
      <c r="D58" t="s">
        <v>80</v>
      </c>
      <c r="E58">
        <v>3</v>
      </c>
      <c r="F58" t="s">
        <v>547</v>
      </c>
      <c r="G58" t="s">
        <v>317</v>
      </c>
    </row>
    <row r="59" spans="1:7">
      <c r="C59" t="s">
        <v>81</v>
      </c>
      <c r="D59" t="s">
        <v>82</v>
      </c>
      <c r="E59">
        <v>3</v>
      </c>
      <c r="F59" t="s">
        <v>548</v>
      </c>
      <c r="G59" t="s">
        <v>317</v>
      </c>
    </row>
    <row r="60" spans="1:7">
      <c r="C60" t="s">
        <v>83</v>
      </c>
      <c r="D60" t="s">
        <v>84</v>
      </c>
      <c r="E60">
        <v>3</v>
      </c>
      <c r="F60" t="s">
        <v>549</v>
      </c>
      <c r="G60" t="s">
        <v>317</v>
      </c>
    </row>
    <row r="61" spans="1:7">
      <c r="C61" t="s">
        <v>85</v>
      </c>
      <c r="D61" t="s">
        <v>86</v>
      </c>
      <c r="E61">
        <v>3</v>
      </c>
      <c r="F61" t="s">
        <v>550</v>
      </c>
      <c r="G61" t="s">
        <v>317</v>
      </c>
    </row>
    <row r="62" spans="1:7">
      <c r="C62" t="s">
        <v>87</v>
      </c>
      <c r="D62" t="s">
        <v>88</v>
      </c>
      <c r="E62">
        <v>3</v>
      </c>
      <c r="F62" t="s">
        <v>551</v>
      </c>
      <c r="G62" t="s">
        <v>317</v>
      </c>
    </row>
    <row r="63" spans="1:7">
      <c r="C63" t="s">
        <v>89</v>
      </c>
      <c r="D63" t="s">
        <v>90</v>
      </c>
      <c r="E63">
        <v>3</v>
      </c>
      <c r="F63" t="s">
        <v>552</v>
      </c>
      <c r="G63" t="s">
        <v>317</v>
      </c>
    </row>
    <row r="64" spans="1:7">
      <c r="C64" t="s">
        <v>91</v>
      </c>
      <c r="D64" t="s">
        <v>92</v>
      </c>
      <c r="E64">
        <v>3</v>
      </c>
      <c r="F64" t="s">
        <v>553</v>
      </c>
      <c r="G64" t="s">
        <v>317</v>
      </c>
    </row>
    <row r="65" spans="3:7">
      <c r="C65" t="s">
        <v>93</v>
      </c>
      <c r="D65" t="s">
        <v>94</v>
      </c>
      <c r="E65">
        <v>3</v>
      </c>
      <c r="F65" t="s">
        <v>554</v>
      </c>
      <c r="G65" t="s">
        <v>317</v>
      </c>
    </row>
    <row r="66" spans="3:7">
      <c r="C66" t="s">
        <v>95</v>
      </c>
      <c r="D66" t="s">
        <v>96</v>
      </c>
      <c r="E66">
        <v>3</v>
      </c>
      <c r="F66" t="s">
        <v>555</v>
      </c>
      <c r="G66" t="s">
        <v>317</v>
      </c>
    </row>
    <row r="67" spans="3:7">
      <c r="C67" t="s">
        <v>97</v>
      </c>
      <c r="D67" t="s">
        <v>98</v>
      </c>
      <c r="E67">
        <v>4</v>
      </c>
      <c r="F67" t="s">
        <v>556</v>
      </c>
      <c r="G67" t="s">
        <v>317</v>
      </c>
    </row>
    <row r="68" spans="3:7">
      <c r="C68" t="s">
        <v>99</v>
      </c>
      <c r="D68" t="s">
        <v>100</v>
      </c>
      <c r="E68">
        <v>3</v>
      </c>
      <c r="F68" t="s">
        <v>557</v>
      </c>
      <c r="G68" t="s">
        <v>317</v>
      </c>
    </row>
    <row r="69" spans="3:7">
      <c r="C69" t="s">
        <v>101</v>
      </c>
      <c r="D69" t="s">
        <v>102</v>
      </c>
      <c r="E69">
        <v>0</v>
      </c>
      <c r="F69" t="s">
        <v>558</v>
      </c>
      <c r="G69" t="s">
        <v>317</v>
      </c>
    </row>
    <row r="70" spans="3:7">
      <c r="C70" t="s">
        <v>103</v>
      </c>
      <c r="D70" t="s">
        <v>104</v>
      </c>
      <c r="E70">
        <v>3</v>
      </c>
      <c r="F70" t="s">
        <v>559</v>
      </c>
      <c r="G70" t="s">
        <v>317</v>
      </c>
    </row>
    <row r="71" spans="3:7">
      <c r="C71" t="s">
        <v>105</v>
      </c>
      <c r="D71" t="s">
        <v>106</v>
      </c>
      <c r="E71">
        <v>3</v>
      </c>
      <c r="F71" t="s">
        <v>560</v>
      </c>
      <c r="G71" t="s">
        <v>317</v>
      </c>
    </row>
    <row r="72" spans="3:7">
      <c r="C72" t="s">
        <v>12</v>
      </c>
      <c r="D72" t="s">
        <v>107</v>
      </c>
      <c r="E72">
        <v>3</v>
      </c>
      <c r="F72" t="s">
        <v>561</v>
      </c>
      <c r="G72" t="s">
        <v>317</v>
      </c>
    </row>
    <row r="73" spans="3:7">
      <c r="C73" t="s">
        <v>108</v>
      </c>
      <c r="D73" t="s">
        <v>109</v>
      </c>
      <c r="E73">
        <v>3</v>
      </c>
      <c r="F73" t="s">
        <v>562</v>
      </c>
      <c r="G73" t="s">
        <v>317</v>
      </c>
    </row>
    <row r="74" spans="3:7">
      <c r="C74" t="s">
        <v>110</v>
      </c>
      <c r="D74" t="s">
        <v>111</v>
      </c>
      <c r="E74">
        <v>3</v>
      </c>
      <c r="F74" t="s">
        <v>563</v>
      </c>
      <c r="G74" t="s">
        <v>317</v>
      </c>
    </row>
    <row r="75" spans="3:7">
      <c r="C75" t="s">
        <v>112</v>
      </c>
      <c r="D75" t="s">
        <v>113</v>
      </c>
      <c r="E75">
        <v>3</v>
      </c>
      <c r="F75" t="s">
        <v>560</v>
      </c>
      <c r="G75" t="s">
        <v>317</v>
      </c>
    </row>
    <row r="76" spans="3:7">
      <c r="C76" t="s">
        <v>114</v>
      </c>
      <c r="D76" t="s">
        <v>115</v>
      </c>
      <c r="E76">
        <v>3</v>
      </c>
      <c r="F76" t="s">
        <v>564</v>
      </c>
      <c r="G76" t="s">
        <v>317</v>
      </c>
    </row>
    <row r="77" spans="3:7">
      <c r="C77" t="s">
        <v>116</v>
      </c>
      <c r="D77" t="s">
        <v>117</v>
      </c>
      <c r="E77">
        <v>3</v>
      </c>
      <c r="F77" t="s">
        <v>565</v>
      </c>
      <c r="G77" t="s">
        <v>317</v>
      </c>
    </row>
    <row r="78" spans="3:7">
      <c r="C78" t="s">
        <v>118</v>
      </c>
      <c r="D78" t="s">
        <v>119</v>
      </c>
      <c r="E78">
        <v>3</v>
      </c>
      <c r="F78" t="s">
        <v>566</v>
      </c>
      <c r="G78" t="s">
        <v>317</v>
      </c>
    </row>
    <row r="79" spans="3:7">
      <c r="C79" t="s">
        <v>120</v>
      </c>
      <c r="D79" t="s">
        <v>121</v>
      </c>
      <c r="E79">
        <v>3</v>
      </c>
      <c r="F79" t="s">
        <v>567</v>
      </c>
      <c r="G79" t="s">
        <v>317</v>
      </c>
    </row>
    <row r="80" spans="3:7">
      <c r="C80" t="s">
        <v>122</v>
      </c>
      <c r="D80" t="s">
        <v>123</v>
      </c>
      <c r="E80">
        <v>3</v>
      </c>
      <c r="F80" t="s">
        <v>568</v>
      </c>
      <c r="G80" t="s">
        <v>317</v>
      </c>
    </row>
    <row r="81" spans="3:7">
      <c r="C81" t="s">
        <v>124</v>
      </c>
      <c r="D81" t="s">
        <v>125</v>
      </c>
      <c r="E81">
        <v>3</v>
      </c>
      <c r="F81" t="s">
        <v>569</v>
      </c>
      <c r="G81" t="s">
        <v>317</v>
      </c>
    </row>
    <row r="82" spans="3:7">
      <c r="C82" t="s">
        <v>126</v>
      </c>
      <c r="D82" t="s">
        <v>127</v>
      </c>
      <c r="E82">
        <v>3</v>
      </c>
      <c r="F82" t="s">
        <v>570</v>
      </c>
      <c r="G82" t="s">
        <v>317</v>
      </c>
    </row>
    <row r="83" spans="3:7">
      <c r="C83" t="s">
        <v>128</v>
      </c>
      <c r="D83" t="s">
        <v>129</v>
      </c>
      <c r="E83">
        <v>3</v>
      </c>
      <c r="F83" t="s">
        <v>571</v>
      </c>
      <c r="G83" t="s">
        <v>317</v>
      </c>
    </row>
    <row r="84" spans="3:7">
      <c r="C84" t="s">
        <v>130</v>
      </c>
      <c r="D84" t="s">
        <v>131</v>
      </c>
      <c r="E84">
        <v>3</v>
      </c>
      <c r="F84" t="s">
        <v>572</v>
      </c>
      <c r="G84" t="s">
        <v>317</v>
      </c>
    </row>
    <row r="85" spans="3:7">
      <c r="C85" t="s">
        <v>132</v>
      </c>
      <c r="D85" t="s">
        <v>133</v>
      </c>
      <c r="E85">
        <v>3</v>
      </c>
      <c r="F85" t="s">
        <v>573</v>
      </c>
      <c r="G85" t="s">
        <v>317</v>
      </c>
    </row>
    <row r="86" spans="3:7">
      <c r="C86" t="s">
        <v>134</v>
      </c>
      <c r="D86" t="s">
        <v>135</v>
      </c>
      <c r="E86">
        <v>3</v>
      </c>
      <c r="F86" t="s">
        <v>574</v>
      </c>
      <c r="G86" t="s">
        <v>317</v>
      </c>
    </row>
    <row r="87" spans="3:7">
      <c r="C87" t="s">
        <v>136</v>
      </c>
      <c r="D87" t="s">
        <v>137</v>
      </c>
      <c r="E87">
        <v>3</v>
      </c>
      <c r="F87" t="s">
        <v>575</v>
      </c>
      <c r="G87" t="s">
        <v>317</v>
      </c>
    </row>
    <row r="88" spans="3:7">
      <c r="C88" t="s">
        <v>138</v>
      </c>
      <c r="D88" t="s">
        <v>139</v>
      </c>
      <c r="E88">
        <v>3</v>
      </c>
      <c r="F88" t="s">
        <v>576</v>
      </c>
      <c r="G88" t="s">
        <v>317</v>
      </c>
    </row>
    <row r="89" spans="3:7">
      <c r="C89" t="s">
        <v>140</v>
      </c>
      <c r="D89" t="s">
        <v>141</v>
      </c>
      <c r="E89">
        <v>3</v>
      </c>
      <c r="F89" t="s">
        <v>577</v>
      </c>
      <c r="G89" t="s">
        <v>317</v>
      </c>
    </row>
    <row r="90" spans="3:7">
      <c r="C90" t="s">
        <v>142</v>
      </c>
      <c r="D90" t="s">
        <v>143</v>
      </c>
      <c r="E90">
        <v>3</v>
      </c>
      <c r="F90" t="s">
        <v>578</v>
      </c>
      <c r="G90" t="s">
        <v>317</v>
      </c>
    </row>
    <row r="91" spans="3:7">
      <c r="C91" t="s">
        <v>144</v>
      </c>
      <c r="D91" t="s">
        <v>145</v>
      </c>
      <c r="E91">
        <v>3</v>
      </c>
      <c r="F91" t="s">
        <v>145</v>
      </c>
      <c r="G91" t="s">
        <v>317</v>
      </c>
    </row>
    <row r="92" spans="3:7">
      <c r="C92" t="s">
        <v>146</v>
      </c>
      <c r="D92" t="s">
        <v>147</v>
      </c>
      <c r="E92">
        <v>3</v>
      </c>
      <c r="F92" t="s">
        <v>579</v>
      </c>
      <c r="G92" t="s">
        <v>317</v>
      </c>
    </row>
    <row r="93" spans="3:7">
      <c r="C93" t="s">
        <v>101</v>
      </c>
      <c r="D93" t="s">
        <v>102</v>
      </c>
      <c r="E93">
        <v>0</v>
      </c>
      <c r="F93" t="s">
        <v>558</v>
      </c>
      <c r="G93" t="s">
        <v>317</v>
      </c>
    </row>
    <row r="94" spans="3:7">
      <c r="C94" t="s">
        <v>148</v>
      </c>
      <c r="D94" t="s">
        <v>149</v>
      </c>
      <c r="E94">
        <v>3</v>
      </c>
      <c r="F94" t="s">
        <v>580</v>
      </c>
      <c r="G94" t="s">
        <v>317</v>
      </c>
    </row>
    <row r="95" spans="3:7">
      <c r="C95" t="s">
        <v>150</v>
      </c>
      <c r="D95" t="s">
        <v>151</v>
      </c>
      <c r="E95">
        <v>3</v>
      </c>
      <c r="F95" t="s">
        <v>581</v>
      </c>
      <c r="G95" t="s">
        <v>317</v>
      </c>
    </row>
    <row r="96" spans="3:7">
      <c r="C96" t="s">
        <v>152</v>
      </c>
      <c r="D96" t="s">
        <v>153</v>
      </c>
      <c r="E96">
        <v>3</v>
      </c>
      <c r="F96" t="s">
        <v>582</v>
      </c>
      <c r="G96" t="s">
        <v>317</v>
      </c>
    </row>
    <row r="97" spans="1:7">
      <c r="C97" t="s">
        <v>154</v>
      </c>
      <c r="D97" t="s">
        <v>155</v>
      </c>
      <c r="E97">
        <v>4</v>
      </c>
      <c r="F97" t="s">
        <v>583</v>
      </c>
      <c r="G97" t="s">
        <v>317</v>
      </c>
    </row>
    <row r="98" spans="1:7">
      <c r="C98" t="s">
        <v>156</v>
      </c>
      <c r="D98" t="s">
        <v>157</v>
      </c>
      <c r="E98">
        <v>3</v>
      </c>
      <c r="F98" t="s">
        <v>584</v>
      </c>
      <c r="G98" t="s">
        <v>317</v>
      </c>
    </row>
    <row r="99" spans="1:7">
      <c r="C99" t="s">
        <v>158</v>
      </c>
      <c r="D99" t="s">
        <v>159</v>
      </c>
      <c r="E99">
        <v>3</v>
      </c>
      <c r="F99" t="s">
        <v>585</v>
      </c>
      <c r="G99" t="s">
        <v>317</v>
      </c>
    </row>
    <row r="100" spans="1:7">
      <c r="C100" t="s">
        <v>160</v>
      </c>
      <c r="D100" t="s">
        <v>161</v>
      </c>
      <c r="E100">
        <v>3</v>
      </c>
      <c r="F100" t="s">
        <v>586</v>
      </c>
      <c r="G100" t="s">
        <v>317</v>
      </c>
    </row>
    <row r="101" spans="1:7">
      <c r="C101" t="s">
        <v>162</v>
      </c>
      <c r="D101" t="s">
        <v>163</v>
      </c>
      <c r="E101">
        <v>3</v>
      </c>
      <c r="F101" t="s">
        <v>587</v>
      </c>
      <c r="G101" t="s">
        <v>317</v>
      </c>
    </row>
    <row r="102" spans="1:7">
      <c r="C102" t="s">
        <v>164</v>
      </c>
      <c r="D102" t="s">
        <v>165</v>
      </c>
      <c r="E102">
        <v>3</v>
      </c>
      <c r="F102" t="s">
        <v>588</v>
      </c>
      <c r="G102" t="s">
        <v>317</v>
      </c>
    </row>
    <row r="103" spans="1:7">
      <c r="C103" t="s">
        <v>166</v>
      </c>
      <c r="D103" t="s">
        <v>167</v>
      </c>
      <c r="E103">
        <v>3</v>
      </c>
      <c r="F103" t="s">
        <v>589</v>
      </c>
      <c r="G103" t="s">
        <v>317</v>
      </c>
    </row>
    <row r="104" spans="1:7">
      <c r="C104" t="s">
        <v>168</v>
      </c>
      <c r="D104" t="s">
        <v>169</v>
      </c>
      <c r="E104">
        <v>3</v>
      </c>
      <c r="F104" t="s">
        <v>590</v>
      </c>
      <c r="G104" t="s">
        <v>317</v>
      </c>
    </row>
    <row r="105" spans="1:7">
      <c r="C105" t="s">
        <v>170</v>
      </c>
      <c r="D105" t="s">
        <v>171</v>
      </c>
      <c r="E105">
        <v>3</v>
      </c>
      <c r="F105" t="s">
        <v>591</v>
      </c>
      <c r="G105" t="s">
        <v>317</v>
      </c>
    </row>
    <row r="106" spans="1:7">
      <c r="C106" t="s">
        <v>172</v>
      </c>
      <c r="D106" t="s">
        <v>173</v>
      </c>
      <c r="E106">
        <v>3</v>
      </c>
      <c r="F106" t="s">
        <v>592</v>
      </c>
      <c r="G106" t="s">
        <v>317</v>
      </c>
    </row>
    <row r="107" spans="1:7">
      <c r="C107" t="s">
        <v>174</v>
      </c>
      <c r="D107" t="s">
        <v>175</v>
      </c>
      <c r="E107">
        <v>3</v>
      </c>
      <c r="F107" t="s">
        <v>593</v>
      </c>
      <c r="G107" t="s">
        <v>317</v>
      </c>
    </row>
    <row r="108" spans="1:7">
      <c r="B108" t="s">
        <v>190</v>
      </c>
      <c r="E108">
        <v>3</v>
      </c>
    </row>
    <row r="109" spans="1:7">
      <c r="C109" t="s">
        <v>188</v>
      </c>
      <c r="D109" t="s">
        <v>189</v>
      </c>
      <c r="E109">
        <v>3</v>
      </c>
    </row>
    <row r="110" spans="1:7">
      <c r="A110" t="s">
        <v>176</v>
      </c>
      <c r="E110">
        <v>18</v>
      </c>
    </row>
    <row r="111" spans="1:7">
      <c r="B111" t="s">
        <v>183</v>
      </c>
      <c r="E111">
        <v>3</v>
      </c>
    </row>
    <row r="112" spans="1:7">
      <c r="C112" t="s">
        <v>156</v>
      </c>
      <c r="D112" t="s">
        <v>157</v>
      </c>
      <c r="E112">
        <v>3</v>
      </c>
      <c r="F112" t="s">
        <v>584</v>
      </c>
      <c r="G112" t="s">
        <v>317</v>
      </c>
    </row>
    <row r="113" spans="1:7">
      <c r="B113" t="s">
        <v>187</v>
      </c>
      <c r="E113">
        <v>12</v>
      </c>
    </row>
    <row r="114" spans="1:7">
      <c r="C114" t="s">
        <v>146</v>
      </c>
      <c r="D114" t="s">
        <v>147</v>
      </c>
      <c r="E114">
        <v>3</v>
      </c>
      <c r="F114" t="s">
        <v>579</v>
      </c>
      <c r="G114" t="s">
        <v>317</v>
      </c>
    </row>
    <row r="115" spans="1:7">
      <c r="C115" t="s">
        <v>148</v>
      </c>
      <c r="D115" t="s">
        <v>149</v>
      </c>
      <c r="E115">
        <v>3</v>
      </c>
      <c r="F115" t="s">
        <v>580</v>
      </c>
      <c r="G115" t="s">
        <v>317</v>
      </c>
    </row>
    <row r="116" spans="1:7">
      <c r="C116" t="s">
        <v>130</v>
      </c>
      <c r="D116" t="s">
        <v>131</v>
      </c>
      <c r="E116">
        <v>3</v>
      </c>
      <c r="F116" t="s">
        <v>572</v>
      </c>
      <c r="G116" t="s">
        <v>317</v>
      </c>
    </row>
    <row r="117" spans="1:7">
      <c r="C117" t="s">
        <v>150</v>
      </c>
      <c r="D117" t="s">
        <v>151</v>
      </c>
      <c r="E117">
        <v>3</v>
      </c>
      <c r="F117" t="s">
        <v>581</v>
      </c>
      <c r="G117" t="s">
        <v>317</v>
      </c>
    </row>
    <row r="118" spans="1:7">
      <c r="C118" t="s">
        <v>152</v>
      </c>
      <c r="D118" t="s">
        <v>153</v>
      </c>
      <c r="E118">
        <v>3</v>
      </c>
      <c r="F118" t="s">
        <v>582</v>
      </c>
      <c r="G118" t="s">
        <v>317</v>
      </c>
    </row>
    <row r="119" spans="1:7">
      <c r="C119" t="s">
        <v>154</v>
      </c>
      <c r="D119" t="s">
        <v>155</v>
      </c>
      <c r="E119">
        <v>4</v>
      </c>
      <c r="F119" t="s">
        <v>583</v>
      </c>
      <c r="G119" t="s">
        <v>317</v>
      </c>
    </row>
    <row r="120" spans="1:7">
      <c r="C120" t="s">
        <v>172</v>
      </c>
      <c r="D120" t="s">
        <v>173</v>
      </c>
      <c r="E120">
        <v>3</v>
      </c>
      <c r="F120" t="s">
        <v>592</v>
      </c>
      <c r="G120" t="s">
        <v>317</v>
      </c>
    </row>
    <row r="121" spans="1:7">
      <c r="C121" t="s">
        <v>174</v>
      </c>
      <c r="D121" t="s">
        <v>175</v>
      </c>
      <c r="E121">
        <v>3</v>
      </c>
      <c r="F121" t="s">
        <v>593</v>
      </c>
      <c r="G121" t="s">
        <v>317</v>
      </c>
    </row>
    <row r="122" spans="1:7">
      <c r="C122" t="s">
        <v>164</v>
      </c>
      <c r="D122" t="s">
        <v>165</v>
      </c>
      <c r="E122">
        <v>3</v>
      </c>
      <c r="F122" t="s">
        <v>588</v>
      </c>
      <c r="G122" t="s">
        <v>317</v>
      </c>
    </row>
    <row r="123" spans="1:7">
      <c r="C123" t="s">
        <v>168</v>
      </c>
      <c r="D123" t="s">
        <v>169</v>
      </c>
      <c r="E123">
        <v>3</v>
      </c>
      <c r="F123" t="s">
        <v>590</v>
      </c>
      <c r="G123" t="s">
        <v>317</v>
      </c>
    </row>
    <row r="124" spans="1:7">
      <c r="C124" t="s">
        <v>124</v>
      </c>
      <c r="D124" t="s">
        <v>125</v>
      </c>
      <c r="E124">
        <v>3</v>
      </c>
      <c r="F124" t="s">
        <v>569</v>
      </c>
      <c r="G124" t="s">
        <v>317</v>
      </c>
    </row>
    <row r="125" spans="1:7">
      <c r="B125" t="s">
        <v>190</v>
      </c>
      <c r="E125">
        <v>3</v>
      </c>
    </row>
    <row r="126" spans="1:7">
      <c r="C126" t="s">
        <v>188</v>
      </c>
      <c r="D126" t="s">
        <v>189</v>
      </c>
      <c r="E126">
        <v>3</v>
      </c>
    </row>
    <row r="127" spans="1:7">
      <c r="A127" t="s">
        <v>191</v>
      </c>
      <c r="E127">
        <v>18</v>
      </c>
    </row>
    <row r="128" spans="1:7">
      <c r="B128" t="s">
        <v>183</v>
      </c>
      <c r="E128">
        <v>6</v>
      </c>
    </row>
    <row r="129" spans="2:7">
      <c r="C129" t="s">
        <v>103</v>
      </c>
      <c r="D129" t="s">
        <v>104</v>
      </c>
      <c r="E129">
        <v>3</v>
      </c>
      <c r="F129" t="s">
        <v>559</v>
      </c>
      <c r="G129" t="s">
        <v>317</v>
      </c>
    </row>
    <row r="130" spans="2:7">
      <c r="C130" t="s">
        <v>105</v>
      </c>
      <c r="D130" t="s">
        <v>106</v>
      </c>
      <c r="E130">
        <v>3</v>
      </c>
      <c r="F130" t="s">
        <v>560</v>
      </c>
      <c r="G130" t="s">
        <v>317</v>
      </c>
    </row>
    <row r="131" spans="2:7">
      <c r="B131" t="s">
        <v>187</v>
      </c>
      <c r="E131">
        <v>9</v>
      </c>
    </row>
    <row r="132" spans="2:7">
      <c r="C132" t="s">
        <v>177</v>
      </c>
      <c r="D132" t="s">
        <v>178</v>
      </c>
      <c r="E132">
        <v>3</v>
      </c>
      <c r="F132" t="s">
        <v>594</v>
      </c>
      <c r="G132" t="s">
        <v>317</v>
      </c>
    </row>
    <row r="133" spans="2:7">
      <c r="C133" t="s">
        <v>91</v>
      </c>
      <c r="D133" t="s">
        <v>92</v>
      </c>
      <c r="E133">
        <v>3</v>
      </c>
      <c r="F133" t="s">
        <v>553</v>
      </c>
      <c r="G133" t="s">
        <v>317</v>
      </c>
    </row>
    <row r="134" spans="2:7">
      <c r="C134" t="s">
        <v>179</v>
      </c>
      <c r="D134" t="s">
        <v>180</v>
      </c>
      <c r="E134">
        <v>3</v>
      </c>
      <c r="F134" t="s">
        <v>595</v>
      </c>
      <c r="G134" t="s">
        <v>317</v>
      </c>
    </row>
    <row r="135" spans="2:7">
      <c r="C135" t="s">
        <v>93</v>
      </c>
      <c r="D135" t="s">
        <v>94</v>
      </c>
      <c r="E135">
        <v>3</v>
      </c>
      <c r="F135" t="s">
        <v>554</v>
      </c>
      <c r="G135" t="s">
        <v>317</v>
      </c>
    </row>
    <row r="136" spans="2:7">
      <c r="C136" t="s">
        <v>95</v>
      </c>
      <c r="D136" t="s">
        <v>96</v>
      </c>
      <c r="E136">
        <v>3</v>
      </c>
      <c r="F136" t="s">
        <v>555</v>
      </c>
      <c r="G136" t="s">
        <v>317</v>
      </c>
    </row>
    <row r="137" spans="2:7">
      <c r="C137" t="s">
        <v>181</v>
      </c>
      <c r="D137" t="s">
        <v>182</v>
      </c>
      <c r="E137">
        <v>3</v>
      </c>
      <c r="F137" t="s">
        <v>596</v>
      </c>
      <c r="G137" t="s">
        <v>317</v>
      </c>
    </row>
    <row r="138" spans="2:7">
      <c r="C138" t="s">
        <v>97</v>
      </c>
      <c r="D138" t="s">
        <v>98</v>
      </c>
      <c r="E138">
        <v>4</v>
      </c>
      <c r="F138" t="s">
        <v>556</v>
      </c>
      <c r="G138" t="s">
        <v>317</v>
      </c>
    </row>
    <row r="139" spans="2:7">
      <c r="C139" t="s">
        <v>99</v>
      </c>
      <c r="D139" t="s">
        <v>100</v>
      </c>
      <c r="E139">
        <v>3</v>
      </c>
      <c r="F139" t="s">
        <v>557</v>
      </c>
      <c r="G139" t="s">
        <v>317</v>
      </c>
    </row>
    <row r="140" spans="2:7">
      <c r="C140" t="s">
        <v>101</v>
      </c>
      <c r="D140" t="s">
        <v>102</v>
      </c>
      <c r="E140">
        <v>0</v>
      </c>
      <c r="F140" t="s">
        <v>558</v>
      </c>
      <c r="G140" t="s">
        <v>317</v>
      </c>
    </row>
    <row r="141" spans="2:7">
      <c r="C141" t="s">
        <v>174</v>
      </c>
      <c r="D141" t="s">
        <v>175</v>
      </c>
      <c r="E141">
        <v>3</v>
      </c>
      <c r="F141" t="s">
        <v>592</v>
      </c>
      <c r="G141" t="s">
        <v>317</v>
      </c>
    </row>
    <row r="142" spans="2:7">
      <c r="C142" t="s">
        <v>172</v>
      </c>
      <c r="D142" t="s">
        <v>173</v>
      </c>
      <c r="E142">
        <v>3</v>
      </c>
      <c r="F142" t="s">
        <v>593</v>
      </c>
      <c r="G142" t="s">
        <v>317</v>
      </c>
    </row>
    <row r="143" spans="2:7">
      <c r="C143" t="s">
        <v>168</v>
      </c>
      <c r="D143" t="s">
        <v>169</v>
      </c>
      <c r="E143">
        <v>3</v>
      </c>
      <c r="F143" t="s">
        <v>590</v>
      </c>
      <c r="G143" t="s">
        <v>317</v>
      </c>
    </row>
    <row r="144" spans="2:7">
      <c r="B144" t="s">
        <v>190</v>
      </c>
      <c r="E144">
        <v>3</v>
      </c>
    </row>
    <row r="145" spans="1:7">
      <c r="C145" t="s">
        <v>188</v>
      </c>
      <c r="D145" t="s">
        <v>189</v>
      </c>
      <c r="E145">
        <v>3</v>
      </c>
    </row>
    <row r="146" spans="1:7">
      <c r="A146" t="s">
        <v>192</v>
      </c>
      <c r="E146">
        <v>18</v>
      </c>
    </row>
    <row r="147" spans="1:7">
      <c r="B147" t="s">
        <v>183</v>
      </c>
      <c r="E147">
        <v>9</v>
      </c>
    </row>
    <row r="148" spans="1:7">
      <c r="C148" t="s">
        <v>87</v>
      </c>
      <c r="D148" t="s">
        <v>88</v>
      </c>
      <c r="E148">
        <v>3</v>
      </c>
      <c r="F148" t="s">
        <v>551</v>
      </c>
      <c r="G148" t="s">
        <v>317</v>
      </c>
    </row>
    <row r="149" spans="1:7">
      <c r="C149" t="s">
        <v>193</v>
      </c>
      <c r="D149" t="s">
        <v>298</v>
      </c>
      <c r="E149">
        <v>3</v>
      </c>
      <c r="F149" t="s">
        <v>597</v>
      </c>
      <c r="G149" t="s">
        <v>317</v>
      </c>
    </row>
    <row r="150" spans="1:7">
      <c r="C150" t="s">
        <v>194</v>
      </c>
      <c r="D150" t="s">
        <v>299</v>
      </c>
      <c r="E150">
        <v>3</v>
      </c>
      <c r="F150" t="s">
        <v>598</v>
      </c>
      <c r="G150" t="s">
        <v>317</v>
      </c>
    </row>
    <row r="151" spans="1:7">
      <c r="B151" t="s">
        <v>187</v>
      </c>
      <c r="E151">
        <v>3</v>
      </c>
    </row>
    <row r="152" spans="1:7">
      <c r="C152" t="s">
        <v>195</v>
      </c>
      <c r="D152" t="s">
        <v>300</v>
      </c>
      <c r="E152">
        <v>3</v>
      </c>
      <c r="F152" t="s">
        <v>599</v>
      </c>
      <c r="G152" t="s">
        <v>317</v>
      </c>
    </row>
    <row r="153" spans="1:7">
      <c r="C153" t="s">
        <v>89</v>
      </c>
      <c r="D153" t="s">
        <v>90</v>
      </c>
      <c r="E153">
        <v>3</v>
      </c>
      <c r="F153" t="s">
        <v>552</v>
      </c>
      <c r="G153" t="s">
        <v>317</v>
      </c>
    </row>
    <row r="154" spans="1:7">
      <c r="B154" t="s">
        <v>190</v>
      </c>
      <c r="E154">
        <v>3</v>
      </c>
    </row>
    <row r="155" spans="1:7">
      <c r="C155" t="s">
        <v>188</v>
      </c>
      <c r="D155" t="s">
        <v>189</v>
      </c>
      <c r="E155">
        <v>3</v>
      </c>
      <c r="F155" t="s">
        <v>624</v>
      </c>
      <c r="G155" t="s">
        <v>321</v>
      </c>
    </row>
    <row r="156" spans="1:7">
      <c r="B156" t="s">
        <v>196</v>
      </c>
      <c r="E156">
        <v>3</v>
      </c>
    </row>
    <row r="157" spans="1:7">
      <c r="C157" t="s">
        <v>199</v>
      </c>
      <c r="D157" t="s">
        <v>198</v>
      </c>
      <c r="E157">
        <v>3</v>
      </c>
      <c r="F157" t="s">
        <v>619</v>
      </c>
      <c r="G157" t="s">
        <v>317</v>
      </c>
    </row>
    <row r="158" spans="1:7">
      <c r="A158" t="s">
        <v>200</v>
      </c>
      <c r="E158">
        <v>18</v>
      </c>
    </row>
    <row r="159" spans="1:7">
      <c r="B159" t="s">
        <v>187</v>
      </c>
      <c r="E159">
        <v>15</v>
      </c>
    </row>
    <row r="160" spans="1:7">
      <c r="C160" t="s">
        <v>199</v>
      </c>
      <c r="D160" t="s">
        <v>204</v>
      </c>
      <c r="E160">
        <v>3</v>
      </c>
      <c r="F160" t="s">
        <v>619</v>
      </c>
      <c r="G160" t="s">
        <v>317</v>
      </c>
    </row>
    <row r="161" spans="2:7">
      <c r="C161" t="s">
        <v>201</v>
      </c>
      <c r="D161" t="s">
        <v>204</v>
      </c>
      <c r="E161">
        <v>3</v>
      </c>
      <c r="F161" t="s">
        <v>620</v>
      </c>
      <c r="G161" t="s">
        <v>317</v>
      </c>
    </row>
    <row r="162" spans="2:7">
      <c r="C162" t="s">
        <v>202</v>
      </c>
      <c r="D162" t="s">
        <v>204</v>
      </c>
      <c r="E162">
        <v>3</v>
      </c>
      <c r="F162" t="s">
        <v>621</v>
      </c>
      <c r="G162" t="s">
        <v>317</v>
      </c>
    </row>
    <row r="163" spans="2:7">
      <c r="C163" t="s">
        <v>203</v>
      </c>
      <c r="D163" t="s">
        <v>204</v>
      </c>
      <c r="E163">
        <v>3</v>
      </c>
      <c r="F163" t="s">
        <v>622</v>
      </c>
      <c r="G163" t="s">
        <v>317</v>
      </c>
    </row>
    <row r="164" spans="2:7">
      <c r="C164" t="s">
        <v>197</v>
      </c>
      <c r="D164" t="s">
        <v>205</v>
      </c>
      <c r="E164">
        <v>3</v>
      </c>
      <c r="F164" t="s">
        <v>623</v>
      </c>
      <c r="G164" t="s">
        <v>317</v>
      </c>
    </row>
    <row r="165" spans="2:7">
      <c r="B165" t="s">
        <v>190</v>
      </c>
      <c r="E165">
        <v>3</v>
      </c>
    </row>
    <row r="166" spans="2:7">
      <c r="C166" t="s">
        <v>188</v>
      </c>
      <c r="D166" t="s">
        <v>189</v>
      </c>
      <c r="E166">
        <v>3</v>
      </c>
      <c r="F166" t="s">
        <v>624</v>
      </c>
      <c r="G166" t="s">
        <v>321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CF5C9-EC72-4B08-B05C-F331D725B147}">
  <sheetPr codeName="Feuil5"/>
  <dimension ref="A1:G166"/>
  <sheetViews>
    <sheetView workbookViewId="0">
      <selection activeCell="B3" sqref="B3"/>
    </sheetView>
  </sheetViews>
  <sheetFormatPr baseColWidth="10" defaultRowHeight="15"/>
  <cols>
    <col min="1" max="1" width="22" customWidth="1"/>
    <col min="2" max="2" width="21.42578125" customWidth="1"/>
    <col min="4" max="4" width="61.140625" customWidth="1"/>
  </cols>
  <sheetData>
    <row r="1" spans="1:7">
      <c r="A1" t="s">
        <v>207</v>
      </c>
      <c r="B1" t="s">
        <v>206</v>
      </c>
    </row>
    <row r="2" spans="1:7">
      <c r="A2" t="s">
        <v>208</v>
      </c>
      <c r="B2" t="s">
        <v>630</v>
      </c>
    </row>
    <row r="3" spans="1:7">
      <c r="A3" t="s">
        <v>498</v>
      </c>
    </row>
    <row r="4" spans="1:7">
      <c r="B4" t="s">
        <v>499</v>
      </c>
      <c r="E4">
        <v>18</v>
      </c>
    </row>
    <row r="5" spans="1:7">
      <c r="C5" t="s">
        <v>504</v>
      </c>
      <c r="D5" t="s">
        <v>505</v>
      </c>
      <c r="E5">
        <v>3</v>
      </c>
      <c r="F5" t="s">
        <v>611</v>
      </c>
      <c r="G5" t="s">
        <v>327</v>
      </c>
    </row>
    <row r="6" spans="1:7">
      <c r="C6" t="s">
        <v>500</v>
      </c>
      <c r="D6" t="s">
        <v>501</v>
      </c>
      <c r="E6">
        <v>4</v>
      </c>
      <c r="F6" t="s">
        <v>612</v>
      </c>
      <c r="G6" t="s">
        <v>327</v>
      </c>
    </row>
    <row r="7" spans="1:7">
      <c r="C7" t="s">
        <v>502</v>
      </c>
      <c r="D7" t="s">
        <v>503</v>
      </c>
      <c r="E7">
        <v>4</v>
      </c>
      <c r="F7" t="s">
        <v>613</v>
      </c>
      <c r="G7" t="s">
        <v>327</v>
      </c>
    </row>
    <row r="8" spans="1:7">
      <c r="C8" t="s">
        <v>608</v>
      </c>
      <c r="D8" t="s">
        <v>615</v>
      </c>
      <c r="E8">
        <v>4</v>
      </c>
      <c r="F8" t="s">
        <v>617</v>
      </c>
      <c r="G8" t="s">
        <v>327</v>
      </c>
    </row>
    <row r="9" spans="1:7">
      <c r="C9" t="s">
        <v>506</v>
      </c>
      <c r="D9" t="s">
        <v>507</v>
      </c>
      <c r="E9">
        <v>3</v>
      </c>
      <c r="F9" t="s">
        <v>618</v>
      </c>
      <c r="G9" t="s">
        <v>327</v>
      </c>
    </row>
    <row r="10" spans="1:7">
      <c r="A10" t="s">
        <v>13</v>
      </c>
    </row>
    <row r="11" spans="1:7">
      <c r="B11" t="s">
        <v>183</v>
      </c>
      <c r="E11">
        <v>99</v>
      </c>
    </row>
    <row r="12" spans="1:7">
      <c r="C12" t="s">
        <v>73</v>
      </c>
      <c r="D12" t="s">
        <v>0</v>
      </c>
      <c r="E12">
        <v>3</v>
      </c>
      <c r="F12" t="s">
        <v>544</v>
      </c>
      <c r="G12" t="s">
        <v>316</v>
      </c>
    </row>
    <row r="13" spans="1:7">
      <c r="C13" t="s">
        <v>14</v>
      </c>
      <c r="D13" t="s">
        <v>1</v>
      </c>
      <c r="E13">
        <v>3</v>
      </c>
      <c r="F13" t="s">
        <v>508</v>
      </c>
      <c r="G13" t="s">
        <v>324</v>
      </c>
    </row>
    <row r="14" spans="1:7">
      <c r="C14" t="s">
        <v>15</v>
      </c>
      <c r="D14" t="s">
        <v>2</v>
      </c>
      <c r="E14">
        <v>3</v>
      </c>
      <c r="F14" t="s">
        <v>509</v>
      </c>
      <c r="G14" t="s">
        <v>320</v>
      </c>
    </row>
    <row r="15" spans="1:7">
      <c r="C15" t="s">
        <v>16</v>
      </c>
      <c r="D15" t="s">
        <v>3</v>
      </c>
      <c r="E15">
        <v>3</v>
      </c>
      <c r="F15" t="s">
        <v>510</v>
      </c>
      <c r="G15" t="s">
        <v>316</v>
      </c>
    </row>
    <row r="16" spans="1:7">
      <c r="C16" t="s">
        <v>17</v>
      </c>
      <c r="D16" t="s">
        <v>4</v>
      </c>
      <c r="E16">
        <v>3</v>
      </c>
      <c r="F16" t="s">
        <v>511</v>
      </c>
      <c r="G16" t="s">
        <v>325</v>
      </c>
    </row>
    <row r="17" spans="3:7">
      <c r="C17" t="s">
        <v>18</v>
      </c>
      <c r="D17" t="s">
        <v>5</v>
      </c>
      <c r="E17">
        <v>3</v>
      </c>
      <c r="F17" t="s">
        <v>512</v>
      </c>
      <c r="G17" t="s">
        <v>308</v>
      </c>
    </row>
    <row r="18" spans="3:7">
      <c r="C18" t="s">
        <v>19</v>
      </c>
      <c r="D18" t="s">
        <v>6</v>
      </c>
      <c r="E18">
        <v>3</v>
      </c>
      <c r="F18" t="s">
        <v>513</v>
      </c>
      <c r="G18" t="s">
        <v>324</v>
      </c>
    </row>
    <row r="19" spans="3:7">
      <c r="C19" t="s">
        <v>20</v>
      </c>
      <c r="D19" t="s">
        <v>7</v>
      </c>
      <c r="E19">
        <v>3</v>
      </c>
      <c r="F19" t="s">
        <v>514</v>
      </c>
      <c r="G19" t="s">
        <v>325</v>
      </c>
    </row>
    <row r="20" spans="3:7">
      <c r="C20" t="s">
        <v>21</v>
      </c>
      <c r="D20" t="s">
        <v>8</v>
      </c>
      <c r="E20">
        <v>3</v>
      </c>
      <c r="F20" t="s">
        <v>515</v>
      </c>
      <c r="G20" t="s">
        <v>325</v>
      </c>
    </row>
    <row r="21" spans="3:7">
      <c r="C21" t="s">
        <v>22</v>
      </c>
      <c r="D21" t="s">
        <v>23</v>
      </c>
      <c r="E21">
        <v>3</v>
      </c>
      <c r="F21" t="s">
        <v>516</v>
      </c>
      <c r="G21" t="s">
        <v>308</v>
      </c>
    </row>
    <row r="22" spans="3:7">
      <c r="C22" t="s">
        <v>24</v>
      </c>
      <c r="D22" t="s">
        <v>25</v>
      </c>
      <c r="E22">
        <v>3</v>
      </c>
      <c r="F22" t="s">
        <v>517</v>
      </c>
      <c r="G22" t="s">
        <v>324</v>
      </c>
    </row>
    <row r="23" spans="3:7">
      <c r="C23" t="s">
        <v>26</v>
      </c>
      <c r="D23" t="s">
        <v>9</v>
      </c>
      <c r="E23">
        <v>3</v>
      </c>
      <c r="F23" t="s">
        <v>518</v>
      </c>
      <c r="G23" t="s">
        <v>324</v>
      </c>
    </row>
    <row r="24" spans="3:7">
      <c r="C24" t="s">
        <v>27</v>
      </c>
      <c r="D24" t="s">
        <v>28</v>
      </c>
      <c r="E24">
        <v>3</v>
      </c>
      <c r="F24" t="s">
        <v>519</v>
      </c>
      <c r="G24" t="s">
        <v>308</v>
      </c>
    </row>
    <row r="25" spans="3:7">
      <c r="C25" t="s">
        <v>29</v>
      </c>
      <c r="D25" t="s">
        <v>30</v>
      </c>
      <c r="E25">
        <v>3</v>
      </c>
      <c r="F25" t="s">
        <v>520</v>
      </c>
      <c r="G25" t="s">
        <v>325</v>
      </c>
    </row>
    <row r="26" spans="3:7">
      <c r="C26" t="s">
        <v>31</v>
      </c>
      <c r="D26" t="s">
        <v>10</v>
      </c>
      <c r="E26">
        <v>3</v>
      </c>
      <c r="F26" t="s">
        <v>521</v>
      </c>
      <c r="G26" t="s">
        <v>320</v>
      </c>
    </row>
    <row r="27" spans="3:7">
      <c r="C27" t="s">
        <v>32</v>
      </c>
      <c r="D27" t="s">
        <v>33</v>
      </c>
      <c r="E27">
        <v>3</v>
      </c>
      <c r="F27" t="s">
        <v>522</v>
      </c>
      <c r="G27" t="s">
        <v>308</v>
      </c>
    </row>
    <row r="28" spans="3:7">
      <c r="C28" t="s">
        <v>34</v>
      </c>
      <c r="D28" t="s">
        <v>35</v>
      </c>
      <c r="E28">
        <v>3</v>
      </c>
      <c r="F28" t="s">
        <v>523</v>
      </c>
      <c r="G28" t="s">
        <v>320</v>
      </c>
    </row>
    <row r="29" spans="3:7">
      <c r="C29" t="s">
        <v>36</v>
      </c>
      <c r="D29" t="s">
        <v>37</v>
      </c>
      <c r="E29">
        <v>3</v>
      </c>
      <c r="F29" t="s">
        <v>524</v>
      </c>
      <c r="G29" t="s">
        <v>324</v>
      </c>
    </row>
    <row r="30" spans="3:7">
      <c r="C30" t="s">
        <v>38</v>
      </c>
      <c r="D30" t="s">
        <v>39</v>
      </c>
      <c r="E30">
        <v>3</v>
      </c>
      <c r="F30" t="s">
        <v>525</v>
      </c>
      <c r="G30" t="s">
        <v>313</v>
      </c>
    </row>
    <row r="31" spans="3:7">
      <c r="C31" t="s">
        <v>40</v>
      </c>
      <c r="D31" t="s">
        <v>41</v>
      </c>
      <c r="E31">
        <v>3</v>
      </c>
      <c r="F31" t="s">
        <v>526</v>
      </c>
      <c r="G31" t="s">
        <v>308</v>
      </c>
    </row>
    <row r="32" spans="3:7">
      <c r="C32" t="s">
        <v>42</v>
      </c>
      <c r="D32" t="s">
        <v>43</v>
      </c>
      <c r="E32">
        <v>3</v>
      </c>
      <c r="F32" t="s">
        <v>527</v>
      </c>
      <c r="G32" t="s">
        <v>321</v>
      </c>
    </row>
    <row r="33" spans="2:7">
      <c r="C33" t="s">
        <v>44</v>
      </c>
      <c r="D33" t="s">
        <v>45</v>
      </c>
      <c r="E33">
        <v>3</v>
      </c>
      <c r="F33" t="s">
        <v>528</v>
      </c>
      <c r="G33" t="s">
        <v>320</v>
      </c>
    </row>
    <row r="34" spans="2:7">
      <c r="C34" t="s">
        <v>46</v>
      </c>
      <c r="D34" t="s">
        <v>47</v>
      </c>
      <c r="E34">
        <v>3</v>
      </c>
      <c r="F34" t="s">
        <v>529</v>
      </c>
      <c r="G34" t="s">
        <v>325</v>
      </c>
    </row>
    <row r="35" spans="2:7">
      <c r="C35" t="s">
        <v>48</v>
      </c>
      <c r="D35" t="s">
        <v>11</v>
      </c>
      <c r="E35">
        <v>3</v>
      </c>
      <c r="F35" t="s">
        <v>530</v>
      </c>
      <c r="G35" t="s">
        <v>324</v>
      </c>
    </row>
    <row r="36" spans="2:7">
      <c r="C36" t="s">
        <v>49</v>
      </c>
      <c r="D36" t="s">
        <v>50</v>
      </c>
      <c r="E36">
        <v>3</v>
      </c>
      <c r="F36" t="s">
        <v>531</v>
      </c>
      <c r="G36" t="s">
        <v>324</v>
      </c>
    </row>
    <row r="37" spans="2:7">
      <c r="C37" t="s">
        <v>51</v>
      </c>
      <c r="D37" t="s">
        <v>52</v>
      </c>
      <c r="E37">
        <v>3</v>
      </c>
      <c r="F37" t="s">
        <v>532</v>
      </c>
      <c r="G37" t="s">
        <v>313</v>
      </c>
    </row>
    <row r="38" spans="2:7">
      <c r="C38" t="s">
        <v>53</v>
      </c>
      <c r="D38" t="s">
        <v>54</v>
      </c>
      <c r="E38">
        <v>3</v>
      </c>
      <c r="F38" t="s">
        <v>533</v>
      </c>
      <c r="G38" t="s">
        <v>320</v>
      </c>
    </row>
    <row r="39" spans="2:7">
      <c r="C39" t="s">
        <v>55</v>
      </c>
      <c r="D39" t="s">
        <v>56</v>
      </c>
      <c r="E39">
        <v>3</v>
      </c>
      <c r="F39" t="s">
        <v>534</v>
      </c>
      <c r="G39" t="s">
        <v>313</v>
      </c>
    </row>
    <row r="40" spans="2:7">
      <c r="C40" t="s">
        <v>57</v>
      </c>
      <c r="D40" t="s">
        <v>58</v>
      </c>
      <c r="E40">
        <v>3</v>
      </c>
      <c r="F40" t="s">
        <v>535</v>
      </c>
      <c r="G40" t="s">
        <v>320</v>
      </c>
    </row>
    <row r="41" spans="2:7">
      <c r="C41" t="s">
        <v>59</v>
      </c>
      <c r="D41" t="s">
        <v>60</v>
      </c>
      <c r="E41">
        <v>3</v>
      </c>
      <c r="F41" t="s">
        <v>536</v>
      </c>
      <c r="G41" t="s">
        <v>321</v>
      </c>
    </row>
    <row r="42" spans="2:7">
      <c r="C42" t="s">
        <v>61</v>
      </c>
      <c r="D42" t="s">
        <v>62</v>
      </c>
      <c r="E42">
        <v>3</v>
      </c>
      <c r="F42" t="s">
        <v>537</v>
      </c>
      <c r="G42" t="s">
        <v>320</v>
      </c>
    </row>
    <row r="43" spans="2:7">
      <c r="C43" t="s">
        <v>63</v>
      </c>
      <c r="D43" t="s">
        <v>64</v>
      </c>
      <c r="E43">
        <v>3</v>
      </c>
      <c r="F43" t="s">
        <v>538</v>
      </c>
      <c r="G43" t="s">
        <v>321</v>
      </c>
    </row>
    <row r="44" spans="2:7">
      <c r="C44" t="s">
        <v>65</v>
      </c>
      <c r="D44" t="s">
        <v>66</v>
      </c>
      <c r="E44">
        <v>3</v>
      </c>
      <c r="F44" t="s">
        <v>539</v>
      </c>
      <c r="G44" t="s">
        <v>321</v>
      </c>
    </row>
    <row r="45" spans="2:7">
      <c r="B45" t="s">
        <v>186</v>
      </c>
      <c r="E45">
        <v>9</v>
      </c>
    </row>
    <row r="46" spans="2:7">
      <c r="C46" t="s">
        <v>184</v>
      </c>
      <c r="D46" t="s">
        <v>185</v>
      </c>
      <c r="E46">
        <v>9</v>
      </c>
      <c r="F46" t="s">
        <v>543</v>
      </c>
      <c r="G46" t="s">
        <v>312</v>
      </c>
    </row>
    <row r="47" spans="2:7">
      <c r="B47" t="s">
        <v>187</v>
      </c>
      <c r="E47">
        <v>3</v>
      </c>
    </row>
    <row r="48" spans="2:7">
      <c r="C48" t="s">
        <v>625</v>
      </c>
      <c r="D48" t="s">
        <v>627</v>
      </c>
      <c r="E48">
        <v>3</v>
      </c>
      <c r="F48" t="s">
        <v>542</v>
      </c>
      <c r="G48" t="s">
        <v>316</v>
      </c>
    </row>
    <row r="49" spans="1:7">
      <c r="C49" t="s">
        <v>626</v>
      </c>
      <c r="D49" t="s">
        <v>628</v>
      </c>
      <c r="E49">
        <v>3</v>
      </c>
      <c r="F49" t="s">
        <v>542</v>
      </c>
      <c r="G49" t="s">
        <v>316</v>
      </c>
    </row>
    <row r="50" spans="1:7">
      <c r="A50" t="s">
        <v>76</v>
      </c>
      <c r="E50">
        <v>18</v>
      </c>
    </row>
    <row r="51" spans="1:7">
      <c r="B51" t="s">
        <v>187</v>
      </c>
      <c r="E51">
        <v>15</v>
      </c>
    </row>
    <row r="52" spans="1:7">
      <c r="C52" t="s">
        <v>199</v>
      </c>
      <c r="D52" t="s">
        <v>497</v>
      </c>
      <c r="E52">
        <v>3</v>
      </c>
      <c r="F52" t="s">
        <v>619</v>
      </c>
      <c r="G52" t="s">
        <v>317</v>
      </c>
    </row>
    <row r="53" spans="1:7">
      <c r="C53" t="s">
        <v>201</v>
      </c>
      <c r="D53" t="s">
        <v>497</v>
      </c>
      <c r="E53">
        <v>3</v>
      </c>
      <c r="F53" t="s">
        <v>620</v>
      </c>
      <c r="G53" t="s">
        <v>317</v>
      </c>
    </row>
    <row r="54" spans="1:7">
      <c r="C54" t="s">
        <v>202</v>
      </c>
      <c r="D54" t="s">
        <v>497</v>
      </c>
      <c r="E54">
        <v>3</v>
      </c>
      <c r="F54" t="s">
        <v>621</v>
      </c>
      <c r="G54" t="s">
        <v>317</v>
      </c>
    </row>
    <row r="55" spans="1:7">
      <c r="C55" t="s">
        <v>203</v>
      </c>
      <c r="D55" t="s">
        <v>497</v>
      </c>
      <c r="E55">
        <v>3</v>
      </c>
      <c r="F55" t="s">
        <v>622</v>
      </c>
      <c r="G55" t="s">
        <v>317</v>
      </c>
    </row>
    <row r="56" spans="1:7">
      <c r="C56" t="s">
        <v>197</v>
      </c>
      <c r="D56" t="s">
        <v>497</v>
      </c>
      <c r="E56">
        <v>3</v>
      </c>
      <c r="F56" t="s">
        <v>623</v>
      </c>
      <c r="G56" t="s">
        <v>317</v>
      </c>
    </row>
    <row r="57" spans="1:7">
      <c r="C57" t="s">
        <v>77</v>
      </c>
      <c r="D57" t="s">
        <v>78</v>
      </c>
      <c r="E57">
        <v>3</v>
      </c>
      <c r="F57" t="s">
        <v>546</v>
      </c>
      <c r="G57" t="s">
        <v>317</v>
      </c>
    </row>
    <row r="58" spans="1:7">
      <c r="C58" t="s">
        <v>79</v>
      </c>
      <c r="D58" t="s">
        <v>80</v>
      </c>
      <c r="E58">
        <v>3</v>
      </c>
      <c r="F58" t="s">
        <v>547</v>
      </c>
      <c r="G58" t="s">
        <v>317</v>
      </c>
    </row>
    <row r="59" spans="1:7">
      <c r="C59" t="s">
        <v>81</v>
      </c>
      <c r="D59" t="s">
        <v>82</v>
      </c>
      <c r="E59">
        <v>3</v>
      </c>
      <c r="F59" t="s">
        <v>548</v>
      </c>
      <c r="G59" t="s">
        <v>317</v>
      </c>
    </row>
    <row r="60" spans="1:7">
      <c r="C60" t="s">
        <v>83</v>
      </c>
      <c r="D60" t="s">
        <v>84</v>
      </c>
      <c r="E60">
        <v>3</v>
      </c>
      <c r="F60" t="s">
        <v>549</v>
      </c>
      <c r="G60" t="s">
        <v>317</v>
      </c>
    </row>
    <row r="61" spans="1:7">
      <c r="C61" t="s">
        <v>85</v>
      </c>
      <c r="D61" t="s">
        <v>86</v>
      </c>
      <c r="E61">
        <v>3</v>
      </c>
      <c r="F61" t="s">
        <v>550</v>
      </c>
      <c r="G61" t="s">
        <v>317</v>
      </c>
    </row>
    <row r="62" spans="1:7">
      <c r="C62" t="s">
        <v>87</v>
      </c>
      <c r="D62" t="s">
        <v>88</v>
      </c>
      <c r="E62">
        <v>3</v>
      </c>
      <c r="F62" t="s">
        <v>551</v>
      </c>
      <c r="G62" t="s">
        <v>317</v>
      </c>
    </row>
    <row r="63" spans="1:7">
      <c r="C63" t="s">
        <v>89</v>
      </c>
      <c r="D63" t="s">
        <v>90</v>
      </c>
      <c r="E63">
        <v>3</v>
      </c>
      <c r="F63" t="s">
        <v>552</v>
      </c>
      <c r="G63" t="s">
        <v>317</v>
      </c>
    </row>
    <row r="64" spans="1:7">
      <c r="C64" t="s">
        <v>91</v>
      </c>
      <c r="D64" t="s">
        <v>92</v>
      </c>
      <c r="E64">
        <v>3</v>
      </c>
      <c r="F64" t="s">
        <v>553</v>
      </c>
      <c r="G64" t="s">
        <v>317</v>
      </c>
    </row>
    <row r="65" spans="3:7">
      <c r="C65" t="s">
        <v>93</v>
      </c>
      <c r="D65" t="s">
        <v>94</v>
      </c>
      <c r="E65">
        <v>3</v>
      </c>
      <c r="F65" t="s">
        <v>554</v>
      </c>
      <c r="G65" t="s">
        <v>317</v>
      </c>
    </row>
    <row r="66" spans="3:7">
      <c r="C66" t="s">
        <v>95</v>
      </c>
      <c r="D66" t="s">
        <v>96</v>
      </c>
      <c r="E66">
        <v>3</v>
      </c>
      <c r="F66" t="s">
        <v>555</v>
      </c>
      <c r="G66" t="s">
        <v>317</v>
      </c>
    </row>
    <row r="67" spans="3:7">
      <c r="C67" t="s">
        <v>97</v>
      </c>
      <c r="D67" t="s">
        <v>98</v>
      </c>
      <c r="E67">
        <v>4</v>
      </c>
      <c r="F67" t="s">
        <v>556</v>
      </c>
      <c r="G67" t="s">
        <v>317</v>
      </c>
    </row>
    <row r="68" spans="3:7">
      <c r="C68" t="s">
        <v>99</v>
      </c>
      <c r="D68" t="s">
        <v>100</v>
      </c>
      <c r="E68">
        <v>3</v>
      </c>
      <c r="F68" t="s">
        <v>557</v>
      </c>
      <c r="G68" t="s">
        <v>317</v>
      </c>
    </row>
    <row r="69" spans="3:7">
      <c r="C69" t="s">
        <v>101</v>
      </c>
      <c r="D69" t="s">
        <v>102</v>
      </c>
      <c r="E69">
        <v>0</v>
      </c>
      <c r="F69" t="s">
        <v>558</v>
      </c>
      <c r="G69" t="s">
        <v>317</v>
      </c>
    </row>
    <row r="70" spans="3:7">
      <c r="C70" t="s">
        <v>103</v>
      </c>
      <c r="D70" t="s">
        <v>104</v>
      </c>
      <c r="E70">
        <v>3</v>
      </c>
      <c r="F70" t="s">
        <v>559</v>
      </c>
      <c r="G70" t="s">
        <v>317</v>
      </c>
    </row>
    <row r="71" spans="3:7">
      <c r="C71" t="s">
        <v>105</v>
      </c>
      <c r="D71" t="s">
        <v>106</v>
      </c>
      <c r="E71">
        <v>3</v>
      </c>
      <c r="F71" t="s">
        <v>560</v>
      </c>
      <c r="G71" t="s">
        <v>317</v>
      </c>
    </row>
    <row r="72" spans="3:7">
      <c r="C72" t="s">
        <v>12</v>
      </c>
      <c r="D72" t="s">
        <v>107</v>
      </c>
      <c r="E72">
        <v>3</v>
      </c>
      <c r="F72" t="s">
        <v>561</v>
      </c>
      <c r="G72" t="s">
        <v>317</v>
      </c>
    </row>
    <row r="73" spans="3:7">
      <c r="C73" t="s">
        <v>108</v>
      </c>
      <c r="D73" t="s">
        <v>109</v>
      </c>
      <c r="E73">
        <v>3</v>
      </c>
      <c r="F73" t="s">
        <v>562</v>
      </c>
      <c r="G73" t="s">
        <v>317</v>
      </c>
    </row>
    <row r="74" spans="3:7">
      <c r="C74" t="s">
        <v>110</v>
      </c>
      <c r="D74" t="s">
        <v>111</v>
      </c>
      <c r="E74">
        <v>3</v>
      </c>
      <c r="F74" t="s">
        <v>563</v>
      </c>
      <c r="G74" t="s">
        <v>317</v>
      </c>
    </row>
    <row r="75" spans="3:7">
      <c r="C75" t="s">
        <v>112</v>
      </c>
      <c r="D75" t="s">
        <v>113</v>
      </c>
      <c r="E75">
        <v>3</v>
      </c>
      <c r="F75" t="s">
        <v>560</v>
      </c>
      <c r="G75" t="s">
        <v>317</v>
      </c>
    </row>
    <row r="76" spans="3:7">
      <c r="C76" t="s">
        <v>114</v>
      </c>
      <c r="D76" t="s">
        <v>115</v>
      </c>
      <c r="E76">
        <v>3</v>
      </c>
      <c r="F76" t="s">
        <v>564</v>
      </c>
      <c r="G76" t="s">
        <v>317</v>
      </c>
    </row>
    <row r="77" spans="3:7">
      <c r="C77" t="s">
        <v>116</v>
      </c>
      <c r="D77" t="s">
        <v>117</v>
      </c>
      <c r="E77">
        <v>3</v>
      </c>
      <c r="F77" t="s">
        <v>565</v>
      </c>
      <c r="G77" t="s">
        <v>317</v>
      </c>
    </row>
    <row r="78" spans="3:7">
      <c r="C78" t="s">
        <v>118</v>
      </c>
      <c r="D78" t="s">
        <v>119</v>
      </c>
      <c r="E78">
        <v>3</v>
      </c>
      <c r="F78" t="s">
        <v>566</v>
      </c>
      <c r="G78" t="s">
        <v>317</v>
      </c>
    </row>
    <row r="79" spans="3:7">
      <c r="C79" t="s">
        <v>120</v>
      </c>
      <c r="D79" t="s">
        <v>121</v>
      </c>
      <c r="E79">
        <v>3</v>
      </c>
      <c r="F79" t="s">
        <v>567</v>
      </c>
      <c r="G79" t="s">
        <v>317</v>
      </c>
    </row>
    <row r="80" spans="3:7">
      <c r="C80" t="s">
        <v>122</v>
      </c>
      <c r="D80" t="s">
        <v>123</v>
      </c>
      <c r="E80">
        <v>3</v>
      </c>
      <c r="F80" t="s">
        <v>568</v>
      </c>
      <c r="G80" t="s">
        <v>317</v>
      </c>
    </row>
    <row r="81" spans="3:7">
      <c r="C81" t="s">
        <v>124</v>
      </c>
      <c r="D81" t="s">
        <v>125</v>
      </c>
      <c r="E81">
        <v>3</v>
      </c>
      <c r="F81" t="s">
        <v>569</v>
      </c>
      <c r="G81" t="s">
        <v>317</v>
      </c>
    </row>
    <row r="82" spans="3:7">
      <c r="C82" t="s">
        <v>126</v>
      </c>
      <c r="D82" t="s">
        <v>127</v>
      </c>
      <c r="E82">
        <v>3</v>
      </c>
      <c r="F82" t="s">
        <v>570</v>
      </c>
      <c r="G82" t="s">
        <v>317</v>
      </c>
    </row>
    <row r="83" spans="3:7">
      <c r="C83" t="s">
        <v>128</v>
      </c>
      <c r="D83" t="s">
        <v>129</v>
      </c>
      <c r="E83">
        <v>3</v>
      </c>
      <c r="F83" t="s">
        <v>571</v>
      </c>
      <c r="G83" t="s">
        <v>317</v>
      </c>
    </row>
    <row r="84" spans="3:7">
      <c r="C84" t="s">
        <v>130</v>
      </c>
      <c r="D84" t="s">
        <v>131</v>
      </c>
      <c r="E84">
        <v>3</v>
      </c>
      <c r="F84" t="s">
        <v>572</v>
      </c>
      <c r="G84" t="s">
        <v>317</v>
      </c>
    </row>
    <row r="85" spans="3:7">
      <c r="C85" t="s">
        <v>132</v>
      </c>
      <c r="D85" t="s">
        <v>133</v>
      </c>
      <c r="E85">
        <v>3</v>
      </c>
      <c r="F85" t="s">
        <v>573</v>
      </c>
      <c r="G85" t="s">
        <v>317</v>
      </c>
    </row>
    <row r="86" spans="3:7">
      <c r="C86" t="s">
        <v>134</v>
      </c>
      <c r="D86" t="s">
        <v>135</v>
      </c>
      <c r="E86">
        <v>3</v>
      </c>
      <c r="F86" t="s">
        <v>574</v>
      </c>
      <c r="G86" t="s">
        <v>317</v>
      </c>
    </row>
    <row r="87" spans="3:7">
      <c r="C87" t="s">
        <v>136</v>
      </c>
      <c r="D87" t="s">
        <v>137</v>
      </c>
      <c r="E87">
        <v>3</v>
      </c>
      <c r="F87" t="s">
        <v>575</v>
      </c>
      <c r="G87" t="s">
        <v>317</v>
      </c>
    </row>
    <row r="88" spans="3:7">
      <c r="C88" t="s">
        <v>138</v>
      </c>
      <c r="D88" t="s">
        <v>139</v>
      </c>
      <c r="E88">
        <v>3</v>
      </c>
      <c r="F88" t="s">
        <v>576</v>
      </c>
      <c r="G88" t="s">
        <v>317</v>
      </c>
    </row>
    <row r="89" spans="3:7">
      <c r="C89" t="s">
        <v>140</v>
      </c>
      <c r="D89" t="s">
        <v>141</v>
      </c>
      <c r="E89">
        <v>3</v>
      </c>
      <c r="F89" t="s">
        <v>577</v>
      </c>
      <c r="G89" t="s">
        <v>317</v>
      </c>
    </row>
    <row r="90" spans="3:7">
      <c r="C90" t="s">
        <v>142</v>
      </c>
      <c r="D90" t="s">
        <v>143</v>
      </c>
      <c r="E90">
        <v>3</v>
      </c>
      <c r="F90" t="s">
        <v>578</v>
      </c>
      <c r="G90" t="s">
        <v>317</v>
      </c>
    </row>
    <row r="91" spans="3:7">
      <c r="C91" t="s">
        <v>144</v>
      </c>
      <c r="D91" t="s">
        <v>145</v>
      </c>
      <c r="E91">
        <v>3</v>
      </c>
      <c r="F91" t="s">
        <v>145</v>
      </c>
      <c r="G91" t="s">
        <v>317</v>
      </c>
    </row>
    <row r="92" spans="3:7">
      <c r="C92" t="s">
        <v>146</v>
      </c>
      <c r="D92" t="s">
        <v>147</v>
      </c>
      <c r="E92">
        <v>3</v>
      </c>
      <c r="F92" t="s">
        <v>579</v>
      </c>
      <c r="G92" t="s">
        <v>317</v>
      </c>
    </row>
    <row r="93" spans="3:7">
      <c r="C93" t="s">
        <v>101</v>
      </c>
      <c r="D93" t="s">
        <v>102</v>
      </c>
      <c r="E93">
        <v>0</v>
      </c>
      <c r="F93" t="s">
        <v>558</v>
      </c>
      <c r="G93" t="s">
        <v>317</v>
      </c>
    </row>
    <row r="94" spans="3:7">
      <c r="C94" t="s">
        <v>148</v>
      </c>
      <c r="D94" t="s">
        <v>149</v>
      </c>
      <c r="E94">
        <v>3</v>
      </c>
      <c r="F94" t="s">
        <v>580</v>
      </c>
      <c r="G94" t="s">
        <v>317</v>
      </c>
    </row>
    <row r="95" spans="3:7">
      <c r="C95" t="s">
        <v>150</v>
      </c>
      <c r="D95" t="s">
        <v>151</v>
      </c>
      <c r="E95">
        <v>3</v>
      </c>
      <c r="F95" t="s">
        <v>581</v>
      </c>
      <c r="G95" t="s">
        <v>317</v>
      </c>
    </row>
    <row r="96" spans="3:7">
      <c r="C96" t="s">
        <v>152</v>
      </c>
      <c r="D96" t="s">
        <v>153</v>
      </c>
      <c r="E96">
        <v>3</v>
      </c>
      <c r="F96" t="s">
        <v>582</v>
      </c>
      <c r="G96" t="s">
        <v>317</v>
      </c>
    </row>
    <row r="97" spans="1:7">
      <c r="C97" t="s">
        <v>154</v>
      </c>
      <c r="D97" t="s">
        <v>155</v>
      </c>
      <c r="E97">
        <v>4</v>
      </c>
      <c r="F97" t="s">
        <v>583</v>
      </c>
      <c r="G97" t="s">
        <v>317</v>
      </c>
    </row>
    <row r="98" spans="1:7">
      <c r="C98" t="s">
        <v>156</v>
      </c>
      <c r="D98" t="s">
        <v>157</v>
      </c>
      <c r="E98">
        <v>3</v>
      </c>
      <c r="F98" t="s">
        <v>584</v>
      </c>
      <c r="G98" t="s">
        <v>317</v>
      </c>
    </row>
    <row r="99" spans="1:7">
      <c r="C99" t="s">
        <v>158</v>
      </c>
      <c r="D99" t="s">
        <v>159</v>
      </c>
      <c r="E99">
        <v>3</v>
      </c>
      <c r="F99" t="s">
        <v>585</v>
      </c>
      <c r="G99" t="s">
        <v>317</v>
      </c>
    </row>
    <row r="100" spans="1:7">
      <c r="C100" t="s">
        <v>160</v>
      </c>
      <c r="D100" t="s">
        <v>161</v>
      </c>
      <c r="E100">
        <v>3</v>
      </c>
      <c r="F100" t="s">
        <v>586</v>
      </c>
      <c r="G100" t="s">
        <v>317</v>
      </c>
    </row>
    <row r="101" spans="1:7">
      <c r="C101" t="s">
        <v>162</v>
      </c>
      <c r="D101" t="s">
        <v>163</v>
      </c>
      <c r="E101">
        <v>3</v>
      </c>
      <c r="F101" t="s">
        <v>587</v>
      </c>
      <c r="G101" t="s">
        <v>317</v>
      </c>
    </row>
    <row r="102" spans="1:7">
      <c r="C102" t="s">
        <v>164</v>
      </c>
      <c r="D102" t="s">
        <v>165</v>
      </c>
      <c r="E102">
        <v>3</v>
      </c>
      <c r="F102" t="s">
        <v>588</v>
      </c>
      <c r="G102" t="s">
        <v>317</v>
      </c>
    </row>
    <row r="103" spans="1:7">
      <c r="C103" t="s">
        <v>166</v>
      </c>
      <c r="D103" t="s">
        <v>167</v>
      </c>
      <c r="E103">
        <v>3</v>
      </c>
      <c r="F103" t="s">
        <v>589</v>
      </c>
      <c r="G103" t="s">
        <v>317</v>
      </c>
    </row>
    <row r="104" spans="1:7">
      <c r="C104" t="s">
        <v>168</v>
      </c>
      <c r="D104" t="s">
        <v>169</v>
      </c>
      <c r="E104">
        <v>3</v>
      </c>
      <c r="F104" t="s">
        <v>590</v>
      </c>
      <c r="G104" t="s">
        <v>317</v>
      </c>
    </row>
    <row r="105" spans="1:7">
      <c r="C105" t="s">
        <v>170</v>
      </c>
      <c r="D105" t="s">
        <v>171</v>
      </c>
      <c r="E105">
        <v>3</v>
      </c>
      <c r="F105" t="s">
        <v>591</v>
      </c>
      <c r="G105" t="s">
        <v>317</v>
      </c>
    </row>
    <row r="106" spans="1:7">
      <c r="C106" t="s">
        <v>172</v>
      </c>
      <c r="D106" t="s">
        <v>173</v>
      </c>
      <c r="E106">
        <v>3</v>
      </c>
      <c r="F106" t="s">
        <v>592</v>
      </c>
      <c r="G106" t="s">
        <v>317</v>
      </c>
    </row>
    <row r="107" spans="1:7">
      <c r="C107" t="s">
        <v>174</v>
      </c>
      <c r="D107" t="s">
        <v>175</v>
      </c>
      <c r="E107">
        <v>3</v>
      </c>
      <c r="F107" t="s">
        <v>593</v>
      </c>
      <c r="G107" t="s">
        <v>317</v>
      </c>
    </row>
    <row r="108" spans="1:7">
      <c r="B108" t="s">
        <v>190</v>
      </c>
      <c r="E108">
        <v>3</v>
      </c>
    </row>
    <row r="109" spans="1:7">
      <c r="C109" t="s">
        <v>188</v>
      </c>
      <c r="D109" t="s">
        <v>189</v>
      </c>
      <c r="E109">
        <v>3</v>
      </c>
    </row>
    <row r="110" spans="1:7">
      <c r="A110" t="s">
        <v>176</v>
      </c>
      <c r="E110">
        <v>18</v>
      </c>
    </row>
    <row r="111" spans="1:7">
      <c r="B111" t="s">
        <v>183</v>
      </c>
      <c r="E111">
        <v>3</v>
      </c>
    </row>
    <row r="112" spans="1:7">
      <c r="C112" t="s">
        <v>156</v>
      </c>
      <c r="D112" t="s">
        <v>157</v>
      </c>
      <c r="E112">
        <v>3</v>
      </c>
      <c r="F112" t="s">
        <v>584</v>
      </c>
      <c r="G112" t="s">
        <v>317</v>
      </c>
    </row>
    <row r="113" spans="1:7">
      <c r="B113" t="s">
        <v>187</v>
      </c>
      <c r="E113">
        <v>12</v>
      </c>
    </row>
    <row r="114" spans="1:7">
      <c r="C114" t="s">
        <v>146</v>
      </c>
      <c r="D114" t="s">
        <v>147</v>
      </c>
      <c r="E114">
        <v>3</v>
      </c>
      <c r="F114" t="s">
        <v>579</v>
      </c>
      <c r="G114" t="s">
        <v>317</v>
      </c>
    </row>
    <row r="115" spans="1:7">
      <c r="C115" t="s">
        <v>148</v>
      </c>
      <c r="D115" t="s">
        <v>149</v>
      </c>
      <c r="E115">
        <v>3</v>
      </c>
      <c r="F115" t="s">
        <v>580</v>
      </c>
      <c r="G115" t="s">
        <v>317</v>
      </c>
    </row>
    <row r="116" spans="1:7">
      <c r="C116" t="s">
        <v>130</v>
      </c>
      <c r="D116" t="s">
        <v>131</v>
      </c>
      <c r="E116">
        <v>3</v>
      </c>
      <c r="F116" t="s">
        <v>572</v>
      </c>
      <c r="G116" t="s">
        <v>317</v>
      </c>
    </row>
    <row r="117" spans="1:7">
      <c r="C117" t="s">
        <v>150</v>
      </c>
      <c r="D117" t="s">
        <v>151</v>
      </c>
      <c r="E117">
        <v>3</v>
      </c>
      <c r="F117" t="s">
        <v>581</v>
      </c>
      <c r="G117" t="s">
        <v>317</v>
      </c>
    </row>
    <row r="118" spans="1:7">
      <c r="C118" t="s">
        <v>152</v>
      </c>
      <c r="D118" t="s">
        <v>153</v>
      </c>
      <c r="E118">
        <v>3</v>
      </c>
      <c r="F118" t="s">
        <v>582</v>
      </c>
      <c r="G118" t="s">
        <v>317</v>
      </c>
    </row>
    <row r="119" spans="1:7">
      <c r="C119" t="s">
        <v>154</v>
      </c>
      <c r="D119" t="s">
        <v>155</v>
      </c>
      <c r="E119">
        <v>4</v>
      </c>
      <c r="F119" t="s">
        <v>583</v>
      </c>
      <c r="G119" t="s">
        <v>317</v>
      </c>
    </row>
    <row r="120" spans="1:7">
      <c r="C120" t="s">
        <v>172</v>
      </c>
      <c r="D120" t="s">
        <v>173</v>
      </c>
      <c r="E120">
        <v>3</v>
      </c>
      <c r="F120" t="s">
        <v>592</v>
      </c>
      <c r="G120" t="s">
        <v>317</v>
      </c>
    </row>
    <row r="121" spans="1:7">
      <c r="C121" t="s">
        <v>174</v>
      </c>
      <c r="D121" t="s">
        <v>175</v>
      </c>
      <c r="E121">
        <v>3</v>
      </c>
      <c r="F121" t="s">
        <v>593</v>
      </c>
      <c r="G121" t="s">
        <v>317</v>
      </c>
    </row>
    <row r="122" spans="1:7">
      <c r="C122" t="s">
        <v>164</v>
      </c>
      <c r="D122" t="s">
        <v>165</v>
      </c>
      <c r="E122">
        <v>3</v>
      </c>
      <c r="F122" t="s">
        <v>588</v>
      </c>
      <c r="G122" t="s">
        <v>317</v>
      </c>
    </row>
    <row r="123" spans="1:7">
      <c r="C123" t="s">
        <v>168</v>
      </c>
      <c r="D123" t="s">
        <v>169</v>
      </c>
      <c r="E123">
        <v>3</v>
      </c>
      <c r="F123" t="s">
        <v>590</v>
      </c>
      <c r="G123" t="s">
        <v>317</v>
      </c>
    </row>
    <row r="124" spans="1:7">
      <c r="C124" t="s">
        <v>124</v>
      </c>
      <c r="D124" t="s">
        <v>125</v>
      </c>
      <c r="E124">
        <v>3</v>
      </c>
      <c r="F124" t="s">
        <v>569</v>
      </c>
      <c r="G124" t="s">
        <v>317</v>
      </c>
    </row>
    <row r="125" spans="1:7">
      <c r="B125" t="s">
        <v>190</v>
      </c>
      <c r="E125">
        <v>3</v>
      </c>
    </row>
    <row r="126" spans="1:7">
      <c r="C126" t="s">
        <v>188</v>
      </c>
      <c r="D126" t="s">
        <v>189</v>
      </c>
      <c r="E126">
        <v>3</v>
      </c>
    </row>
    <row r="127" spans="1:7">
      <c r="A127" t="s">
        <v>191</v>
      </c>
      <c r="E127">
        <v>18</v>
      </c>
    </row>
    <row r="128" spans="1:7">
      <c r="B128" t="s">
        <v>183</v>
      </c>
      <c r="E128">
        <v>6</v>
      </c>
    </row>
    <row r="129" spans="2:7">
      <c r="C129" t="s">
        <v>103</v>
      </c>
      <c r="D129" t="s">
        <v>104</v>
      </c>
      <c r="E129">
        <v>3</v>
      </c>
      <c r="F129" t="s">
        <v>559</v>
      </c>
      <c r="G129" t="s">
        <v>317</v>
      </c>
    </row>
    <row r="130" spans="2:7">
      <c r="C130" t="s">
        <v>105</v>
      </c>
      <c r="D130" t="s">
        <v>106</v>
      </c>
      <c r="E130">
        <v>3</v>
      </c>
      <c r="F130" t="s">
        <v>560</v>
      </c>
      <c r="G130" t="s">
        <v>317</v>
      </c>
    </row>
    <row r="131" spans="2:7">
      <c r="B131" t="s">
        <v>187</v>
      </c>
      <c r="E131">
        <v>9</v>
      </c>
    </row>
    <row r="132" spans="2:7">
      <c r="C132" t="s">
        <v>177</v>
      </c>
      <c r="D132" t="s">
        <v>178</v>
      </c>
      <c r="E132">
        <v>3</v>
      </c>
      <c r="F132" t="s">
        <v>594</v>
      </c>
      <c r="G132" t="s">
        <v>317</v>
      </c>
    </row>
    <row r="133" spans="2:7">
      <c r="C133" t="s">
        <v>91</v>
      </c>
      <c r="D133" t="s">
        <v>92</v>
      </c>
      <c r="E133">
        <v>3</v>
      </c>
      <c r="F133" t="s">
        <v>553</v>
      </c>
      <c r="G133" t="s">
        <v>317</v>
      </c>
    </row>
    <row r="134" spans="2:7">
      <c r="C134" t="s">
        <v>179</v>
      </c>
      <c r="D134" t="s">
        <v>180</v>
      </c>
      <c r="E134">
        <v>3</v>
      </c>
      <c r="F134" t="s">
        <v>595</v>
      </c>
      <c r="G134" t="s">
        <v>317</v>
      </c>
    </row>
    <row r="135" spans="2:7">
      <c r="C135" t="s">
        <v>93</v>
      </c>
      <c r="D135" t="s">
        <v>94</v>
      </c>
      <c r="E135">
        <v>3</v>
      </c>
      <c r="F135" t="s">
        <v>554</v>
      </c>
      <c r="G135" t="s">
        <v>317</v>
      </c>
    </row>
    <row r="136" spans="2:7">
      <c r="C136" t="s">
        <v>95</v>
      </c>
      <c r="D136" t="s">
        <v>96</v>
      </c>
      <c r="E136">
        <v>3</v>
      </c>
      <c r="F136" t="s">
        <v>555</v>
      </c>
      <c r="G136" t="s">
        <v>317</v>
      </c>
    </row>
    <row r="137" spans="2:7">
      <c r="C137" t="s">
        <v>181</v>
      </c>
      <c r="D137" t="s">
        <v>182</v>
      </c>
      <c r="E137">
        <v>3</v>
      </c>
      <c r="F137" t="s">
        <v>596</v>
      </c>
      <c r="G137" t="s">
        <v>317</v>
      </c>
    </row>
    <row r="138" spans="2:7">
      <c r="C138" t="s">
        <v>97</v>
      </c>
      <c r="D138" t="s">
        <v>98</v>
      </c>
      <c r="E138">
        <v>4</v>
      </c>
      <c r="F138" t="s">
        <v>556</v>
      </c>
      <c r="G138" t="s">
        <v>317</v>
      </c>
    </row>
    <row r="139" spans="2:7">
      <c r="C139" t="s">
        <v>99</v>
      </c>
      <c r="D139" t="s">
        <v>100</v>
      </c>
      <c r="E139">
        <v>3</v>
      </c>
      <c r="F139" t="s">
        <v>557</v>
      </c>
      <c r="G139" t="s">
        <v>317</v>
      </c>
    </row>
    <row r="140" spans="2:7">
      <c r="C140" t="s">
        <v>101</v>
      </c>
      <c r="D140" t="s">
        <v>102</v>
      </c>
      <c r="E140">
        <v>0</v>
      </c>
      <c r="F140" t="s">
        <v>558</v>
      </c>
      <c r="G140" t="s">
        <v>317</v>
      </c>
    </row>
    <row r="141" spans="2:7">
      <c r="C141" t="s">
        <v>174</v>
      </c>
      <c r="D141" t="s">
        <v>175</v>
      </c>
      <c r="E141">
        <v>3</v>
      </c>
      <c r="F141" t="s">
        <v>592</v>
      </c>
      <c r="G141" t="s">
        <v>317</v>
      </c>
    </row>
    <row r="142" spans="2:7">
      <c r="C142" t="s">
        <v>172</v>
      </c>
      <c r="D142" t="s">
        <v>173</v>
      </c>
      <c r="E142">
        <v>3</v>
      </c>
      <c r="F142" t="s">
        <v>593</v>
      </c>
      <c r="G142" t="s">
        <v>317</v>
      </c>
    </row>
    <row r="143" spans="2:7">
      <c r="C143" t="s">
        <v>168</v>
      </c>
      <c r="D143" t="s">
        <v>169</v>
      </c>
      <c r="E143">
        <v>3</v>
      </c>
      <c r="F143" t="s">
        <v>590</v>
      </c>
      <c r="G143" t="s">
        <v>317</v>
      </c>
    </row>
    <row r="144" spans="2:7">
      <c r="B144" t="s">
        <v>190</v>
      </c>
      <c r="E144">
        <v>3</v>
      </c>
    </row>
    <row r="145" spans="1:7">
      <c r="C145" t="s">
        <v>188</v>
      </c>
      <c r="D145" t="s">
        <v>189</v>
      </c>
      <c r="E145">
        <v>3</v>
      </c>
    </row>
    <row r="146" spans="1:7">
      <c r="A146" t="s">
        <v>192</v>
      </c>
      <c r="E146">
        <v>18</v>
      </c>
    </row>
    <row r="147" spans="1:7">
      <c r="B147" t="s">
        <v>183</v>
      </c>
      <c r="E147">
        <v>9</v>
      </c>
    </row>
    <row r="148" spans="1:7">
      <c r="C148" t="s">
        <v>87</v>
      </c>
      <c r="D148" t="s">
        <v>88</v>
      </c>
      <c r="E148">
        <v>3</v>
      </c>
      <c r="F148" t="s">
        <v>551</v>
      </c>
      <c r="G148" t="s">
        <v>317</v>
      </c>
    </row>
    <row r="149" spans="1:7">
      <c r="C149" t="s">
        <v>193</v>
      </c>
      <c r="D149" t="s">
        <v>298</v>
      </c>
      <c r="E149">
        <v>3</v>
      </c>
      <c r="F149" t="s">
        <v>597</v>
      </c>
      <c r="G149" t="s">
        <v>317</v>
      </c>
    </row>
    <row r="150" spans="1:7">
      <c r="C150" t="s">
        <v>194</v>
      </c>
      <c r="D150" t="s">
        <v>299</v>
      </c>
      <c r="E150">
        <v>3</v>
      </c>
      <c r="F150" t="s">
        <v>598</v>
      </c>
      <c r="G150" t="s">
        <v>317</v>
      </c>
    </row>
    <row r="151" spans="1:7">
      <c r="B151" t="s">
        <v>187</v>
      </c>
      <c r="E151">
        <v>3</v>
      </c>
    </row>
    <row r="152" spans="1:7">
      <c r="C152" t="s">
        <v>195</v>
      </c>
      <c r="D152" t="s">
        <v>300</v>
      </c>
      <c r="E152">
        <v>3</v>
      </c>
      <c r="F152" t="s">
        <v>599</v>
      </c>
      <c r="G152" t="s">
        <v>317</v>
      </c>
    </row>
    <row r="153" spans="1:7">
      <c r="C153" t="s">
        <v>89</v>
      </c>
      <c r="D153" t="s">
        <v>90</v>
      </c>
      <c r="E153">
        <v>3</v>
      </c>
      <c r="F153" t="s">
        <v>552</v>
      </c>
      <c r="G153" t="s">
        <v>317</v>
      </c>
    </row>
    <row r="154" spans="1:7">
      <c r="B154" t="s">
        <v>190</v>
      </c>
      <c r="E154">
        <v>3</v>
      </c>
    </row>
    <row r="155" spans="1:7">
      <c r="C155" t="s">
        <v>188</v>
      </c>
      <c r="D155" t="s">
        <v>189</v>
      </c>
      <c r="E155">
        <v>3</v>
      </c>
      <c r="F155" t="s">
        <v>624</v>
      </c>
      <c r="G155" t="s">
        <v>321</v>
      </c>
    </row>
    <row r="156" spans="1:7">
      <c r="B156" t="s">
        <v>196</v>
      </c>
      <c r="E156">
        <v>3</v>
      </c>
    </row>
    <row r="157" spans="1:7">
      <c r="C157" t="s">
        <v>199</v>
      </c>
      <c r="D157" t="s">
        <v>198</v>
      </c>
      <c r="E157">
        <v>3</v>
      </c>
      <c r="F157" t="s">
        <v>619</v>
      </c>
      <c r="G157" t="s">
        <v>317</v>
      </c>
    </row>
    <row r="158" spans="1:7">
      <c r="A158" t="s">
        <v>200</v>
      </c>
      <c r="E158">
        <v>18</v>
      </c>
    </row>
    <row r="159" spans="1:7">
      <c r="B159" t="s">
        <v>187</v>
      </c>
      <c r="E159">
        <v>15</v>
      </c>
    </row>
    <row r="160" spans="1:7">
      <c r="C160" t="s">
        <v>199</v>
      </c>
      <c r="D160" t="s">
        <v>204</v>
      </c>
      <c r="E160">
        <v>3</v>
      </c>
      <c r="F160" t="s">
        <v>619</v>
      </c>
      <c r="G160" t="s">
        <v>317</v>
      </c>
    </row>
    <row r="161" spans="2:7">
      <c r="C161" t="s">
        <v>201</v>
      </c>
      <c r="D161" t="s">
        <v>204</v>
      </c>
      <c r="E161">
        <v>3</v>
      </c>
      <c r="F161" t="s">
        <v>620</v>
      </c>
      <c r="G161" t="s">
        <v>317</v>
      </c>
    </row>
    <row r="162" spans="2:7">
      <c r="C162" t="s">
        <v>202</v>
      </c>
      <c r="D162" t="s">
        <v>204</v>
      </c>
      <c r="E162">
        <v>3</v>
      </c>
      <c r="F162" t="s">
        <v>621</v>
      </c>
      <c r="G162" t="s">
        <v>317</v>
      </c>
    </row>
    <row r="163" spans="2:7">
      <c r="C163" t="s">
        <v>203</v>
      </c>
      <c r="D163" t="s">
        <v>204</v>
      </c>
      <c r="E163">
        <v>3</v>
      </c>
      <c r="F163" t="s">
        <v>622</v>
      </c>
      <c r="G163" t="s">
        <v>317</v>
      </c>
    </row>
    <row r="164" spans="2:7">
      <c r="C164" t="s">
        <v>197</v>
      </c>
      <c r="D164" t="s">
        <v>205</v>
      </c>
      <c r="E164">
        <v>3</v>
      </c>
      <c r="F164" t="s">
        <v>623</v>
      </c>
      <c r="G164" t="s">
        <v>317</v>
      </c>
    </row>
    <row r="165" spans="2:7">
      <c r="B165" t="s">
        <v>190</v>
      </c>
      <c r="E165">
        <v>3</v>
      </c>
    </row>
    <row r="166" spans="2:7">
      <c r="C166" t="s">
        <v>188</v>
      </c>
      <c r="D166" t="s">
        <v>189</v>
      </c>
      <c r="E166">
        <v>3</v>
      </c>
      <c r="F166" t="s">
        <v>624</v>
      </c>
      <c r="G166" t="s">
        <v>321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6EBF8-07F2-4DD0-B2EF-06BF70BE1963}">
  <sheetPr codeName="Feuil6"/>
  <dimension ref="A1:G166"/>
  <sheetViews>
    <sheetView tabSelected="1" workbookViewId="0">
      <selection activeCell="B3" sqref="B3"/>
    </sheetView>
  </sheetViews>
  <sheetFormatPr baseColWidth="10" defaultRowHeight="15"/>
  <cols>
    <col min="1" max="1" width="22" customWidth="1"/>
    <col min="2" max="2" width="21.42578125" customWidth="1"/>
    <col min="4" max="4" width="61.140625" customWidth="1"/>
  </cols>
  <sheetData>
    <row r="1" spans="1:7">
      <c r="A1" t="s">
        <v>207</v>
      </c>
      <c r="B1" t="s">
        <v>206</v>
      </c>
    </row>
    <row r="2" spans="1:7">
      <c r="A2" t="s">
        <v>208</v>
      </c>
      <c r="B2" t="s">
        <v>631</v>
      </c>
    </row>
    <row r="3" spans="1:7">
      <c r="A3" t="s">
        <v>498</v>
      </c>
    </row>
    <row r="4" spans="1:7">
      <c r="B4" t="s">
        <v>499</v>
      </c>
      <c r="E4">
        <v>18</v>
      </c>
    </row>
    <row r="5" spans="1:7">
      <c r="C5" t="s">
        <v>504</v>
      </c>
      <c r="D5" t="s">
        <v>505</v>
      </c>
      <c r="E5">
        <v>3</v>
      </c>
      <c r="F5" t="s">
        <v>611</v>
      </c>
      <c r="G5" t="s">
        <v>327</v>
      </c>
    </row>
    <row r="6" spans="1:7">
      <c r="C6" t="s">
        <v>500</v>
      </c>
      <c r="D6" t="s">
        <v>501</v>
      </c>
      <c r="E6">
        <v>4</v>
      </c>
      <c r="F6" t="s">
        <v>612</v>
      </c>
      <c r="G6" t="s">
        <v>327</v>
      </c>
    </row>
    <row r="7" spans="1:7">
      <c r="C7" t="s">
        <v>502</v>
      </c>
      <c r="D7" t="s">
        <v>503</v>
      </c>
      <c r="E7">
        <v>4</v>
      </c>
      <c r="F7" t="s">
        <v>613</v>
      </c>
      <c r="G7" t="s">
        <v>327</v>
      </c>
    </row>
    <row r="8" spans="1:7">
      <c r="C8" t="s">
        <v>608</v>
      </c>
      <c r="D8" t="s">
        <v>615</v>
      </c>
      <c r="E8">
        <v>4</v>
      </c>
      <c r="F8" t="s">
        <v>617</v>
      </c>
      <c r="G8" t="s">
        <v>327</v>
      </c>
    </row>
    <row r="9" spans="1:7">
      <c r="C9" t="s">
        <v>506</v>
      </c>
      <c r="D9" t="s">
        <v>507</v>
      </c>
      <c r="E9">
        <v>3</v>
      </c>
      <c r="F9" t="s">
        <v>618</v>
      </c>
      <c r="G9" t="s">
        <v>327</v>
      </c>
    </row>
    <row r="10" spans="1:7">
      <c r="A10" t="s">
        <v>13</v>
      </c>
    </row>
    <row r="11" spans="1:7">
      <c r="B11" t="s">
        <v>183</v>
      </c>
      <c r="E11">
        <v>99</v>
      </c>
    </row>
    <row r="12" spans="1:7">
      <c r="C12" t="s">
        <v>73</v>
      </c>
      <c r="D12" t="s">
        <v>0</v>
      </c>
      <c r="E12">
        <v>3</v>
      </c>
      <c r="F12" t="s">
        <v>544</v>
      </c>
      <c r="G12" t="s">
        <v>316</v>
      </c>
    </row>
    <row r="13" spans="1:7">
      <c r="C13" t="s">
        <v>14</v>
      </c>
      <c r="D13" t="s">
        <v>1</v>
      </c>
      <c r="E13">
        <v>3</v>
      </c>
      <c r="F13" t="s">
        <v>508</v>
      </c>
      <c r="G13" t="s">
        <v>324</v>
      </c>
    </row>
    <row r="14" spans="1:7">
      <c r="C14" t="s">
        <v>15</v>
      </c>
      <c r="D14" t="s">
        <v>2</v>
      </c>
      <c r="E14">
        <v>3</v>
      </c>
      <c r="F14" t="s">
        <v>509</v>
      </c>
      <c r="G14" t="s">
        <v>320</v>
      </c>
    </row>
    <row r="15" spans="1:7">
      <c r="C15" t="s">
        <v>16</v>
      </c>
      <c r="D15" t="s">
        <v>3</v>
      </c>
      <c r="E15">
        <v>3</v>
      </c>
      <c r="F15" t="s">
        <v>510</v>
      </c>
      <c r="G15" t="s">
        <v>316</v>
      </c>
    </row>
    <row r="16" spans="1:7">
      <c r="C16" t="s">
        <v>17</v>
      </c>
      <c r="D16" t="s">
        <v>4</v>
      </c>
      <c r="E16">
        <v>3</v>
      </c>
      <c r="F16" t="s">
        <v>511</v>
      </c>
      <c r="G16" t="s">
        <v>325</v>
      </c>
    </row>
    <row r="17" spans="3:7">
      <c r="C17" t="s">
        <v>18</v>
      </c>
      <c r="D17" t="s">
        <v>5</v>
      </c>
      <c r="E17">
        <v>3</v>
      </c>
      <c r="F17" t="s">
        <v>512</v>
      </c>
      <c r="G17" t="s">
        <v>308</v>
      </c>
    </row>
    <row r="18" spans="3:7">
      <c r="C18" t="s">
        <v>19</v>
      </c>
      <c r="D18" t="s">
        <v>6</v>
      </c>
      <c r="E18">
        <v>3</v>
      </c>
      <c r="F18" t="s">
        <v>513</v>
      </c>
      <c r="G18" t="s">
        <v>324</v>
      </c>
    </row>
    <row r="19" spans="3:7">
      <c r="C19" t="s">
        <v>20</v>
      </c>
      <c r="D19" t="s">
        <v>7</v>
      </c>
      <c r="E19">
        <v>3</v>
      </c>
      <c r="F19" t="s">
        <v>514</v>
      </c>
      <c r="G19" t="s">
        <v>325</v>
      </c>
    </row>
    <row r="20" spans="3:7">
      <c r="C20" t="s">
        <v>21</v>
      </c>
      <c r="D20" t="s">
        <v>8</v>
      </c>
      <c r="E20">
        <v>3</v>
      </c>
      <c r="F20" t="s">
        <v>515</v>
      </c>
      <c r="G20" t="s">
        <v>325</v>
      </c>
    </row>
    <row r="21" spans="3:7">
      <c r="C21" t="s">
        <v>22</v>
      </c>
      <c r="D21" t="s">
        <v>23</v>
      </c>
      <c r="E21">
        <v>3</v>
      </c>
      <c r="F21" t="s">
        <v>516</v>
      </c>
      <c r="G21" t="s">
        <v>308</v>
      </c>
    </row>
    <row r="22" spans="3:7">
      <c r="C22" t="s">
        <v>24</v>
      </c>
      <c r="D22" t="s">
        <v>25</v>
      </c>
      <c r="E22">
        <v>3</v>
      </c>
      <c r="F22" t="s">
        <v>517</v>
      </c>
      <c r="G22" t="s">
        <v>324</v>
      </c>
    </row>
    <row r="23" spans="3:7">
      <c r="C23" t="s">
        <v>26</v>
      </c>
      <c r="D23" t="s">
        <v>9</v>
      </c>
      <c r="E23">
        <v>3</v>
      </c>
      <c r="F23" t="s">
        <v>518</v>
      </c>
      <c r="G23" t="s">
        <v>324</v>
      </c>
    </row>
    <row r="24" spans="3:7">
      <c r="C24" t="s">
        <v>27</v>
      </c>
      <c r="D24" t="s">
        <v>28</v>
      </c>
      <c r="E24">
        <v>3</v>
      </c>
      <c r="F24" t="s">
        <v>519</v>
      </c>
      <c r="G24" t="s">
        <v>308</v>
      </c>
    </row>
    <row r="25" spans="3:7">
      <c r="C25" t="s">
        <v>29</v>
      </c>
      <c r="D25" t="s">
        <v>30</v>
      </c>
      <c r="E25">
        <v>3</v>
      </c>
      <c r="F25" t="s">
        <v>520</v>
      </c>
      <c r="G25" t="s">
        <v>325</v>
      </c>
    </row>
    <row r="26" spans="3:7">
      <c r="C26" t="s">
        <v>31</v>
      </c>
      <c r="D26" t="s">
        <v>10</v>
      </c>
      <c r="E26">
        <v>3</v>
      </c>
      <c r="F26" t="s">
        <v>521</v>
      </c>
      <c r="G26" t="s">
        <v>320</v>
      </c>
    </row>
    <row r="27" spans="3:7">
      <c r="C27" t="s">
        <v>32</v>
      </c>
      <c r="D27" t="s">
        <v>33</v>
      </c>
      <c r="E27">
        <v>3</v>
      </c>
      <c r="F27" t="s">
        <v>522</v>
      </c>
      <c r="G27" t="s">
        <v>308</v>
      </c>
    </row>
    <row r="28" spans="3:7">
      <c r="C28" t="s">
        <v>34</v>
      </c>
      <c r="D28" t="s">
        <v>35</v>
      </c>
      <c r="E28">
        <v>3</v>
      </c>
      <c r="F28" t="s">
        <v>523</v>
      </c>
      <c r="G28" t="s">
        <v>320</v>
      </c>
    </row>
    <row r="29" spans="3:7">
      <c r="C29" t="s">
        <v>36</v>
      </c>
      <c r="D29" t="s">
        <v>37</v>
      </c>
      <c r="E29">
        <v>3</v>
      </c>
      <c r="F29" t="s">
        <v>524</v>
      </c>
      <c r="G29" t="s">
        <v>324</v>
      </c>
    </row>
    <row r="30" spans="3:7">
      <c r="C30" t="s">
        <v>38</v>
      </c>
      <c r="D30" t="s">
        <v>39</v>
      </c>
      <c r="E30">
        <v>3</v>
      </c>
      <c r="F30" t="s">
        <v>525</v>
      </c>
      <c r="G30" t="s">
        <v>313</v>
      </c>
    </row>
    <row r="31" spans="3:7">
      <c r="C31" t="s">
        <v>40</v>
      </c>
      <c r="D31" t="s">
        <v>41</v>
      </c>
      <c r="E31">
        <v>3</v>
      </c>
      <c r="F31" t="s">
        <v>526</v>
      </c>
      <c r="G31" t="s">
        <v>308</v>
      </c>
    </row>
    <row r="32" spans="3:7">
      <c r="C32" t="s">
        <v>42</v>
      </c>
      <c r="D32" t="s">
        <v>43</v>
      </c>
      <c r="E32">
        <v>3</v>
      </c>
      <c r="F32" t="s">
        <v>527</v>
      </c>
      <c r="G32" t="s">
        <v>321</v>
      </c>
    </row>
    <row r="33" spans="2:7">
      <c r="C33" t="s">
        <v>44</v>
      </c>
      <c r="D33" t="s">
        <v>45</v>
      </c>
      <c r="E33">
        <v>3</v>
      </c>
      <c r="F33" t="s">
        <v>528</v>
      </c>
      <c r="G33" t="s">
        <v>320</v>
      </c>
    </row>
    <row r="34" spans="2:7">
      <c r="C34" t="s">
        <v>46</v>
      </c>
      <c r="D34" t="s">
        <v>47</v>
      </c>
      <c r="E34">
        <v>3</v>
      </c>
      <c r="F34" t="s">
        <v>529</v>
      </c>
      <c r="G34" t="s">
        <v>325</v>
      </c>
    </row>
    <row r="35" spans="2:7">
      <c r="C35" t="s">
        <v>48</v>
      </c>
      <c r="D35" t="s">
        <v>11</v>
      </c>
      <c r="E35">
        <v>3</v>
      </c>
      <c r="F35" t="s">
        <v>530</v>
      </c>
      <c r="G35" t="s">
        <v>324</v>
      </c>
    </row>
    <row r="36" spans="2:7">
      <c r="C36" t="s">
        <v>49</v>
      </c>
      <c r="D36" t="s">
        <v>50</v>
      </c>
      <c r="E36">
        <v>3</v>
      </c>
      <c r="F36" t="s">
        <v>531</v>
      </c>
      <c r="G36" t="s">
        <v>324</v>
      </c>
    </row>
    <row r="37" spans="2:7">
      <c r="C37" t="s">
        <v>51</v>
      </c>
      <c r="D37" t="s">
        <v>52</v>
      </c>
      <c r="E37">
        <v>3</v>
      </c>
      <c r="F37" t="s">
        <v>532</v>
      </c>
      <c r="G37" t="s">
        <v>313</v>
      </c>
    </row>
    <row r="38" spans="2:7">
      <c r="C38" t="s">
        <v>53</v>
      </c>
      <c r="D38" t="s">
        <v>54</v>
      </c>
      <c r="E38">
        <v>3</v>
      </c>
      <c r="F38" t="s">
        <v>533</v>
      </c>
      <c r="G38" t="s">
        <v>320</v>
      </c>
    </row>
    <row r="39" spans="2:7">
      <c r="C39" t="s">
        <v>55</v>
      </c>
      <c r="D39" t="s">
        <v>56</v>
      </c>
      <c r="E39">
        <v>3</v>
      </c>
      <c r="F39" t="s">
        <v>534</v>
      </c>
      <c r="G39" t="s">
        <v>313</v>
      </c>
    </row>
    <row r="40" spans="2:7">
      <c r="C40" t="s">
        <v>57</v>
      </c>
      <c r="D40" t="s">
        <v>58</v>
      </c>
      <c r="E40">
        <v>3</v>
      </c>
      <c r="F40" t="s">
        <v>535</v>
      </c>
      <c r="G40" t="s">
        <v>320</v>
      </c>
    </row>
    <row r="41" spans="2:7">
      <c r="C41" t="s">
        <v>59</v>
      </c>
      <c r="D41" t="s">
        <v>60</v>
      </c>
      <c r="E41">
        <v>3</v>
      </c>
      <c r="F41" t="s">
        <v>536</v>
      </c>
      <c r="G41" t="s">
        <v>321</v>
      </c>
    </row>
    <row r="42" spans="2:7">
      <c r="C42" t="s">
        <v>61</v>
      </c>
      <c r="D42" t="s">
        <v>62</v>
      </c>
      <c r="E42">
        <v>3</v>
      </c>
      <c r="F42" t="s">
        <v>537</v>
      </c>
      <c r="G42" t="s">
        <v>320</v>
      </c>
    </row>
    <row r="43" spans="2:7">
      <c r="C43" t="s">
        <v>63</v>
      </c>
      <c r="D43" t="s">
        <v>64</v>
      </c>
      <c r="E43">
        <v>3</v>
      </c>
      <c r="F43" t="s">
        <v>538</v>
      </c>
      <c r="G43" t="s">
        <v>321</v>
      </c>
    </row>
    <row r="44" spans="2:7">
      <c r="C44" t="s">
        <v>65</v>
      </c>
      <c r="D44" t="s">
        <v>66</v>
      </c>
      <c r="E44">
        <v>3</v>
      </c>
      <c r="F44" t="s">
        <v>539</v>
      </c>
      <c r="G44" t="s">
        <v>321</v>
      </c>
    </row>
    <row r="45" spans="2:7">
      <c r="B45" t="s">
        <v>186</v>
      </c>
      <c r="E45">
        <v>9</v>
      </c>
    </row>
    <row r="46" spans="2:7">
      <c r="C46" t="s">
        <v>184</v>
      </c>
      <c r="D46" t="s">
        <v>185</v>
      </c>
      <c r="E46">
        <v>9</v>
      </c>
      <c r="F46" t="s">
        <v>543</v>
      </c>
      <c r="G46" t="s">
        <v>312</v>
      </c>
    </row>
    <row r="47" spans="2:7">
      <c r="B47" t="s">
        <v>187</v>
      </c>
      <c r="E47">
        <v>3</v>
      </c>
    </row>
    <row r="48" spans="2:7">
      <c r="C48" t="s">
        <v>625</v>
      </c>
      <c r="D48" t="s">
        <v>627</v>
      </c>
      <c r="E48">
        <v>3</v>
      </c>
      <c r="F48" t="s">
        <v>542</v>
      </c>
      <c r="G48" t="s">
        <v>316</v>
      </c>
    </row>
    <row r="49" spans="1:7">
      <c r="C49" t="s">
        <v>626</v>
      </c>
      <c r="D49" t="s">
        <v>628</v>
      </c>
      <c r="E49">
        <v>3</v>
      </c>
      <c r="F49" t="s">
        <v>542</v>
      </c>
      <c r="G49" t="s">
        <v>316</v>
      </c>
    </row>
    <row r="50" spans="1:7">
      <c r="A50" t="s">
        <v>76</v>
      </c>
      <c r="E50">
        <v>18</v>
      </c>
    </row>
    <row r="51" spans="1:7">
      <c r="B51" t="s">
        <v>187</v>
      </c>
      <c r="E51">
        <v>15</v>
      </c>
    </row>
    <row r="52" spans="1:7">
      <c r="C52" t="s">
        <v>199</v>
      </c>
      <c r="D52" t="s">
        <v>497</v>
      </c>
      <c r="E52">
        <v>3</v>
      </c>
      <c r="F52" t="s">
        <v>619</v>
      </c>
      <c r="G52" t="s">
        <v>317</v>
      </c>
    </row>
    <row r="53" spans="1:7">
      <c r="C53" t="s">
        <v>201</v>
      </c>
      <c r="D53" t="s">
        <v>497</v>
      </c>
      <c r="E53">
        <v>3</v>
      </c>
      <c r="F53" t="s">
        <v>620</v>
      </c>
      <c r="G53" t="s">
        <v>317</v>
      </c>
    </row>
    <row r="54" spans="1:7">
      <c r="C54" t="s">
        <v>202</v>
      </c>
      <c r="D54" t="s">
        <v>497</v>
      </c>
      <c r="E54">
        <v>3</v>
      </c>
      <c r="F54" t="s">
        <v>621</v>
      </c>
      <c r="G54" t="s">
        <v>317</v>
      </c>
    </row>
    <row r="55" spans="1:7">
      <c r="C55" t="s">
        <v>203</v>
      </c>
      <c r="D55" t="s">
        <v>497</v>
      </c>
      <c r="E55">
        <v>3</v>
      </c>
      <c r="F55" t="s">
        <v>622</v>
      </c>
      <c r="G55" t="s">
        <v>317</v>
      </c>
    </row>
    <row r="56" spans="1:7">
      <c r="C56" t="s">
        <v>197</v>
      </c>
      <c r="D56" t="s">
        <v>497</v>
      </c>
      <c r="E56">
        <v>3</v>
      </c>
      <c r="F56" t="s">
        <v>623</v>
      </c>
      <c r="G56" t="s">
        <v>317</v>
      </c>
    </row>
    <row r="57" spans="1:7">
      <c r="C57" t="s">
        <v>77</v>
      </c>
      <c r="D57" t="s">
        <v>78</v>
      </c>
      <c r="E57">
        <v>3</v>
      </c>
      <c r="F57" t="s">
        <v>546</v>
      </c>
      <c r="G57" t="s">
        <v>317</v>
      </c>
    </row>
    <row r="58" spans="1:7">
      <c r="C58" t="s">
        <v>79</v>
      </c>
      <c r="D58" t="s">
        <v>80</v>
      </c>
      <c r="E58">
        <v>3</v>
      </c>
      <c r="F58" t="s">
        <v>547</v>
      </c>
      <c r="G58" t="s">
        <v>317</v>
      </c>
    </row>
    <row r="59" spans="1:7">
      <c r="C59" t="s">
        <v>81</v>
      </c>
      <c r="D59" t="s">
        <v>82</v>
      </c>
      <c r="E59">
        <v>3</v>
      </c>
      <c r="F59" t="s">
        <v>548</v>
      </c>
      <c r="G59" t="s">
        <v>317</v>
      </c>
    </row>
    <row r="60" spans="1:7">
      <c r="C60" t="s">
        <v>83</v>
      </c>
      <c r="D60" t="s">
        <v>84</v>
      </c>
      <c r="E60">
        <v>3</v>
      </c>
      <c r="F60" t="s">
        <v>549</v>
      </c>
      <c r="G60" t="s">
        <v>317</v>
      </c>
    </row>
    <row r="61" spans="1:7">
      <c r="C61" t="s">
        <v>85</v>
      </c>
      <c r="D61" t="s">
        <v>86</v>
      </c>
      <c r="E61">
        <v>3</v>
      </c>
      <c r="F61" t="s">
        <v>550</v>
      </c>
      <c r="G61" t="s">
        <v>317</v>
      </c>
    </row>
    <row r="62" spans="1:7">
      <c r="C62" t="s">
        <v>87</v>
      </c>
      <c r="D62" t="s">
        <v>88</v>
      </c>
      <c r="E62">
        <v>3</v>
      </c>
      <c r="F62" t="s">
        <v>551</v>
      </c>
      <c r="G62" t="s">
        <v>317</v>
      </c>
    </row>
    <row r="63" spans="1:7">
      <c r="C63" t="s">
        <v>89</v>
      </c>
      <c r="D63" t="s">
        <v>90</v>
      </c>
      <c r="E63">
        <v>3</v>
      </c>
      <c r="F63" t="s">
        <v>552</v>
      </c>
      <c r="G63" t="s">
        <v>317</v>
      </c>
    </row>
    <row r="64" spans="1:7">
      <c r="C64" t="s">
        <v>91</v>
      </c>
      <c r="D64" t="s">
        <v>92</v>
      </c>
      <c r="E64">
        <v>3</v>
      </c>
      <c r="F64" t="s">
        <v>553</v>
      </c>
      <c r="G64" t="s">
        <v>317</v>
      </c>
    </row>
    <row r="65" spans="3:7">
      <c r="C65" t="s">
        <v>93</v>
      </c>
      <c r="D65" t="s">
        <v>94</v>
      </c>
      <c r="E65">
        <v>3</v>
      </c>
      <c r="F65" t="s">
        <v>554</v>
      </c>
      <c r="G65" t="s">
        <v>317</v>
      </c>
    </row>
    <row r="66" spans="3:7">
      <c r="C66" t="s">
        <v>95</v>
      </c>
      <c r="D66" t="s">
        <v>96</v>
      </c>
      <c r="E66">
        <v>3</v>
      </c>
      <c r="F66" t="s">
        <v>555</v>
      </c>
      <c r="G66" t="s">
        <v>317</v>
      </c>
    </row>
    <row r="67" spans="3:7">
      <c r="C67" t="s">
        <v>97</v>
      </c>
      <c r="D67" t="s">
        <v>98</v>
      </c>
      <c r="E67">
        <v>4</v>
      </c>
      <c r="F67" t="s">
        <v>556</v>
      </c>
      <c r="G67" t="s">
        <v>317</v>
      </c>
    </row>
    <row r="68" spans="3:7">
      <c r="C68" t="s">
        <v>99</v>
      </c>
      <c r="D68" t="s">
        <v>100</v>
      </c>
      <c r="E68">
        <v>3</v>
      </c>
      <c r="F68" t="s">
        <v>557</v>
      </c>
      <c r="G68" t="s">
        <v>317</v>
      </c>
    </row>
    <row r="69" spans="3:7">
      <c r="C69" t="s">
        <v>101</v>
      </c>
      <c r="D69" t="s">
        <v>102</v>
      </c>
      <c r="E69">
        <v>0</v>
      </c>
      <c r="F69" t="s">
        <v>558</v>
      </c>
      <c r="G69" t="s">
        <v>317</v>
      </c>
    </row>
    <row r="70" spans="3:7">
      <c r="C70" t="s">
        <v>103</v>
      </c>
      <c r="D70" t="s">
        <v>104</v>
      </c>
      <c r="E70">
        <v>3</v>
      </c>
      <c r="F70" t="s">
        <v>559</v>
      </c>
      <c r="G70" t="s">
        <v>317</v>
      </c>
    </row>
    <row r="71" spans="3:7">
      <c r="C71" t="s">
        <v>105</v>
      </c>
      <c r="D71" t="s">
        <v>106</v>
      </c>
      <c r="E71">
        <v>3</v>
      </c>
      <c r="F71" t="s">
        <v>560</v>
      </c>
      <c r="G71" t="s">
        <v>317</v>
      </c>
    </row>
    <row r="72" spans="3:7">
      <c r="C72" t="s">
        <v>12</v>
      </c>
      <c r="D72" t="s">
        <v>107</v>
      </c>
      <c r="E72">
        <v>3</v>
      </c>
      <c r="F72" t="s">
        <v>561</v>
      </c>
      <c r="G72" t="s">
        <v>317</v>
      </c>
    </row>
    <row r="73" spans="3:7">
      <c r="C73" t="s">
        <v>108</v>
      </c>
      <c r="D73" t="s">
        <v>109</v>
      </c>
      <c r="E73">
        <v>3</v>
      </c>
      <c r="F73" t="s">
        <v>562</v>
      </c>
      <c r="G73" t="s">
        <v>317</v>
      </c>
    </row>
    <row r="74" spans="3:7">
      <c r="C74" t="s">
        <v>110</v>
      </c>
      <c r="D74" t="s">
        <v>111</v>
      </c>
      <c r="E74">
        <v>3</v>
      </c>
      <c r="F74" t="s">
        <v>563</v>
      </c>
      <c r="G74" t="s">
        <v>317</v>
      </c>
    </row>
    <row r="75" spans="3:7">
      <c r="C75" t="s">
        <v>112</v>
      </c>
      <c r="D75" t="s">
        <v>113</v>
      </c>
      <c r="E75">
        <v>3</v>
      </c>
      <c r="F75" t="s">
        <v>560</v>
      </c>
      <c r="G75" t="s">
        <v>317</v>
      </c>
    </row>
    <row r="76" spans="3:7">
      <c r="C76" t="s">
        <v>114</v>
      </c>
      <c r="D76" t="s">
        <v>115</v>
      </c>
      <c r="E76">
        <v>3</v>
      </c>
      <c r="F76" t="s">
        <v>564</v>
      </c>
      <c r="G76" t="s">
        <v>317</v>
      </c>
    </row>
    <row r="77" spans="3:7">
      <c r="C77" t="s">
        <v>116</v>
      </c>
      <c r="D77" t="s">
        <v>117</v>
      </c>
      <c r="E77">
        <v>3</v>
      </c>
      <c r="F77" t="s">
        <v>565</v>
      </c>
      <c r="G77" t="s">
        <v>317</v>
      </c>
    </row>
    <row r="78" spans="3:7">
      <c r="C78" t="s">
        <v>118</v>
      </c>
      <c r="D78" t="s">
        <v>119</v>
      </c>
      <c r="E78">
        <v>3</v>
      </c>
      <c r="F78" t="s">
        <v>566</v>
      </c>
      <c r="G78" t="s">
        <v>317</v>
      </c>
    </row>
    <row r="79" spans="3:7">
      <c r="C79" t="s">
        <v>120</v>
      </c>
      <c r="D79" t="s">
        <v>121</v>
      </c>
      <c r="E79">
        <v>3</v>
      </c>
      <c r="F79" t="s">
        <v>567</v>
      </c>
      <c r="G79" t="s">
        <v>317</v>
      </c>
    </row>
    <row r="80" spans="3:7">
      <c r="C80" t="s">
        <v>122</v>
      </c>
      <c r="D80" t="s">
        <v>123</v>
      </c>
      <c r="E80">
        <v>3</v>
      </c>
      <c r="F80" t="s">
        <v>568</v>
      </c>
      <c r="G80" t="s">
        <v>317</v>
      </c>
    </row>
    <row r="81" spans="3:7">
      <c r="C81" t="s">
        <v>124</v>
      </c>
      <c r="D81" t="s">
        <v>125</v>
      </c>
      <c r="E81">
        <v>3</v>
      </c>
      <c r="F81" t="s">
        <v>569</v>
      </c>
      <c r="G81" t="s">
        <v>317</v>
      </c>
    </row>
    <row r="82" spans="3:7">
      <c r="C82" t="s">
        <v>126</v>
      </c>
      <c r="D82" t="s">
        <v>127</v>
      </c>
      <c r="E82">
        <v>3</v>
      </c>
      <c r="F82" t="s">
        <v>570</v>
      </c>
      <c r="G82" t="s">
        <v>317</v>
      </c>
    </row>
    <row r="83" spans="3:7">
      <c r="C83" t="s">
        <v>128</v>
      </c>
      <c r="D83" t="s">
        <v>129</v>
      </c>
      <c r="E83">
        <v>3</v>
      </c>
      <c r="F83" t="s">
        <v>571</v>
      </c>
      <c r="G83" t="s">
        <v>317</v>
      </c>
    </row>
    <row r="84" spans="3:7">
      <c r="C84" t="s">
        <v>130</v>
      </c>
      <c r="D84" t="s">
        <v>131</v>
      </c>
      <c r="E84">
        <v>3</v>
      </c>
      <c r="F84" t="s">
        <v>572</v>
      </c>
      <c r="G84" t="s">
        <v>317</v>
      </c>
    </row>
    <row r="85" spans="3:7">
      <c r="C85" t="s">
        <v>132</v>
      </c>
      <c r="D85" t="s">
        <v>133</v>
      </c>
      <c r="E85">
        <v>3</v>
      </c>
      <c r="F85" t="s">
        <v>573</v>
      </c>
      <c r="G85" t="s">
        <v>317</v>
      </c>
    </row>
    <row r="86" spans="3:7">
      <c r="C86" t="s">
        <v>134</v>
      </c>
      <c r="D86" t="s">
        <v>135</v>
      </c>
      <c r="E86">
        <v>3</v>
      </c>
      <c r="F86" t="s">
        <v>574</v>
      </c>
      <c r="G86" t="s">
        <v>317</v>
      </c>
    </row>
    <row r="87" spans="3:7">
      <c r="C87" t="s">
        <v>136</v>
      </c>
      <c r="D87" t="s">
        <v>137</v>
      </c>
      <c r="E87">
        <v>3</v>
      </c>
      <c r="F87" t="s">
        <v>575</v>
      </c>
      <c r="G87" t="s">
        <v>317</v>
      </c>
    </row>
    <row r="88" spans="3:7">
      <c r="C88" t="s">
        <v>138</v>
      </c>
      <c r="D88" t="s">
        <v>139</v>
      </c>
      <c r="E88">
        <v>3</v>
      </c>
      <c r="F88" t="s">
        <v>576</v>
      </c>
      <c r="G88" t="s">
        <v>317</v>
      </c>
    </row>
    <row r="89" spans="3:7">
      <c r="C89" t="s">
        <v>140</v>
      </c>
      <c r="D89" t="s">
        <v>141</v>
      </c>
      <c r="E89">
        <v>3</v>
      </c>
      <c r="F89" t="s">
        <v>577</v>
      </c>
      <c r="G89" t="s">
        <v>317</v>
      </c>
    </row>
    <row r="90" spans="3:7">
      <c r="C90" t="s">
        <v>142</v>
      </c>
      <c r="D90" t="s">
        <v>143</v>
      </c>
      <c r="E90">
        <v>3</v>
      </c>
      <c r="F90" t="s">
        <v>578</v>
      </c>
      <c r="G90" t="s">
        <v>317</v>
      </c>
    </row>
    <row r="91" spans="3:7">
      <c r="C91" t="s">
        <v>144</v>
      </c>
      <c r="D91" t="s">
        <v>145</v>
      </c>
      <c r="E91">
        <v>3</v>
      </c>
      <c r="F91" t="s">
        <v>145</v>
      </c>
      <c r="G91" t="s">
        <v>317</v>
      </c>
    </row>
    <row r="92" spans="3:7">
      <c r="C92" t="s">
        <v>146</v>
      </c>
      <c r="D92" t="s">
        <v>147</v>
      </c>
      <c r="E92">
        <v>3</v>
      </c>
      <c r="F92" t="s">
        <v>579</v>
      </c>
      <c r="G92" t="s">
        <v>317</v>
      </c>
    </row>
    <row r="93" spans="3:7">
      <c r="C93" t="s">
        <v>101</v>
      </c>
      <c r="D93" t="s">
        <v>102</v>
      </c>
      <c r="E93">
        <v>0</v>
      </c>
      <c r="F93" t="s">
        <v>558</v>
      </c>
      <c r="G93" t="s">
        <v>317</v>
      </c>
    </row>
    <row r="94" spans="3:7">
      <c r="C94" t="s">
        <v>148</v>
      </c>
      <c r="D94" t="s">
        <v>149</v>
      </c>
      <c r="E94">
        <v>3</v>
      </c>
      <c r="F94" t="s">
        <v>580</v>
      </c>
      <c r="G94" t="s">
        <v>317</v>
      </c>
    </row>
    <row r="95" spans="3:7">
      <c r="C95" t="s">
        <v>150</v>
      </c>
      <c r="D95" t="s">
        <v>151</v>
      </c>
      <c r="E95">
        <v>3</v>
      </c>
      <c r="F95" t="s">
        <v>581</v>
      </c>
      <c r="G95" t="s">
        <v>317</v>
      </c>
    </row>
    <row r="96" spans="3:7">
      <c r="C96" t="s">
        <v>152</v>
      </c>
      <c r="D96" t="s">
        <v>153</v>
      </c>
      <c r="E96">
        <v>3</v>
      </c>
      <c r="F96" t="s">
        <v>582</v>
      </c>
      <c r="G96" t="s">
        <v>317</v>
      </c>
    </row>
    <row r="97" spans="1:7">
      <c r="C97" t="s">
        <v>154</v>
      </c>
      <c r="D97" t="s">
        <v>155</v>
      </c>
      <c r="E97">
        <v>4</v>
      </c>
      <c r="F97" t="s">
        <v>583</v>
      </c>
      <c r="G97" t="s">
        <v>317</v>
      </c>
    </row>
    <row r="98" spans="1:7">
      <c r="C98" t="s">
        <v>156</v>
      </c>
      <c r="D98" t="s">
        <v>157</v>
      </c>
      <c r="E98">
        <v>3</v>
      </c>
      <c r="F98" t="s">
        <v>584</v>
      </c>
      <c r="G98" t="s">
        <v>317</v>
      </c>
    </row>
    <row r="99" spans="1:7">
      <c r="C99" t="s">
        <v>158</v>
      </c>
      <c r="D99" t="s">
        <v>159</v>
      </c>
      <c r="E99">
        <v>3</v>
      </c>
      <c r="F99" t="s">
        <v>585</v>
      </c>
      <c r="G99" t="s">
        <v>317</v>
      </c>
    </row>
    <row r="100" spans="1:7">
      <c r="C100" t="s">
        <v>160</v>
      </c>
      <c r="D100" t="s">
        <v>161</v>
      </c>
      <c r="E100">
        <v>3</v>
      </c>
      <c r="F100" t="s">
        <v>586</v>
      </c>
      <c r="G100" t="s">
        <v>317</v>
      </c>
    </row>
    <row r="101" spans="1:7">
      <c r="C101" t="s">
        <v>162</v>
      </c>
      <c r="D101" t="s">
        <v>163</v>
      </c>
      <c r="E101">
        <v>3</v>
      </c>
      <c r="F101" t="s">
        <v>587</v>
      </c>
      <c r="G101" t="s">
        <v>317</v>
      </c>
    </row>
    <row r="102" spans="1:7">
      <c r="C102" t="s">
        <v>164</v>
      </c>
      <c r="D102" t="s">
        <v>165</v>
      </c>
      <c r="E102">
        <v>3</v>
      </c>
      <c r="F102" t="s">
        <v>588</v>
      </c>
      <c r="G102" t="s">
        <v>317</v>
      </c>
    </row>
    <row r="103" spans="1:7">
      <c r="C103" t="s">
        <v>166</v>
      </c>
      <c r="D103" t="s">
        <v>167</v>
      </c>
      <c r="E103">
        <v>3</v>
      </c>
      <c r="F103" t="s">
        <v>589</v>
      </c>
      <c r="G103" t="s">
        <v>317</v>
      </c>
    </row>
    <row r="104" spans="1:7">
      <c r="C104" t="s">
        <v>168</v>
      </c>
      <c r="D104" t="s">
        <v>169</v>
      </c>
      <c r="E104">
        <v>3</v>
      </c>
      <c r="F104" t="s">
        <v>590</v>
      </c>
      <c r="G104" t="s">
        <v>317</v>
      </c>
    </row>
    <row r="105" spans="1:7">
      <c r="C105" t="s">
        <v>170</v>
      </c>
      <c r="D105" t="s">
        <v>171</v>
      </c>
      <c r="E105">
        <v>3</v>
      </c>
      <c r="F105" t="s">
        <v>591</v>
      </c>
      <c r="G105" t="s">
        <v>317</v>
      </c>
    </row>
    <row r="106" spans="1:7">
      <c r="C106" t="s">
        <v>172</v>
      </c>
      <c r="D106" t="s">
        <v>173</v>
      </c>
      <c r="E106">
        <v>3</v>
      </c>
      <c r="F106" t="s">
        <v>592</v>
      </c>
      <c r="G106" t="s">
        <v>317</v>
      </c>
    </row>
    <row r="107" spans="1:7">
      <c r="C107" t="s">
        <v>174</v>
      </c>
      <c r="D107" t="s">
        <v>175</v>
      </c>
      <c r="E107">
        <v>3</v>
      </c>
      <c r="F107" t="s">
        <v>593</v>
      </c>
      <c r="G107" t="s">
        <v>317</v>
      </c>
    </row>
    <row r="108" spans="1:7">
      <c r="B108" t="s">
        <v>190</v>
      </c>
      <c r="E108">
        <v>3</v>
      </c>
    </row>
    <row r="109" spans="1:7">
      <c r="C109" t="s">
        <v>188</v>
      </c>
      <c r="D109" t="s">
        <v>189</v>
      </c>
      <c r="E109">
        <v>3</v>
      </c>
    </row>
    <row r="110" spans="1:7">
      <c r="A110" t="s">
        <v>176</v>
      </c>
      <c r="E110">
        <v>18</v>
      </c>
    </row>
    <row r="111" spans="1:7">
      <c r="B111" t="s">
        <v>183</v>
      </c>
      <c r="E111">
        <v>3</v>
      </c>
    </row>
    <row r="112" spans="1:7">
      <c r="C112" t="s">
        <v>156</v>
      </c>
      <c r="D112" t="s">
        <v>157</v>
      </c>
      <c r="E112">
        <v>3</v>
      </c>
      <c r="F112" t="s">
        <v>584</v>
      </c>
      <c r="G112" t="s">
        <v>317</v>
      </c>
    </row>
    <row r="113" spans="1:7">
      <c r="B113" t="s">
        <v>187</v>
      </c>
      <c r="E113">
        <v>12</v>
      </c>
    </row>
    <row r="114" spans="1:7">
      <c r="C114" t="s">
        <v>146</v>
      </c>
      <c r="D114" t="s">
        <v>147</v>
      </c>
      <c r="E114">
        <v>3</v>
      </c>
      <c r="F114" t="s">
        <v>579</v>
      </c>
      <c r="G114" t="s">
        <v>317</v>
      </c>
    </row>
    <row r="115" spans="1:7">
      <c r="C115" t="s">
        <v>148</v>
      </c>
      <c r="D115" t="s">
        <v>149</v>
      </c>
      <c r="E115">
        <v>3</v>
      </c>
      <c r="F115" t="s">
        <v>580</v>
      </c>
      <c r="G115" t="s">
        <v>317</v>
      </c>
    </row>
    <row r="116" spans="1:7">
      <c r="C116" t="s">
        <v>130</v>
      </c>
      <c r="D116" t="s">
        <v>131</v>
      </c>
      <c r="E116">
        <v>3</v>
      </c>
      <c r="F116" t="s">
        <v>572</v>
      </c>
      <c r="G116" t="s">
        <v>317</v>
      </c>
    </row>
    <row r="117" spans="1:7">
      <c r="C117" t="s">
        <v>150</v>
      </c>
      <c r="D117" t="s">
        <v>151</v>
      </c>
      <c r="E117">
        <v>3</v>
      </c>
      <c r="F117" t="s">
        <v>581</v>
      </c>
      <c r="G117" t="s">
        <v>317</v>
      </c>
    </row>
    <row r="118" spans="1:7">
      <c r="C118" t="s">
        <v>152</v>
      </c>
      <c r="D118" t="s">
        <v>153</v>
      </c>
      <c r="E118">
        <v>3</v>
      </c>
      <c r="F118" t="s">
        <v>582</v>
      </c>
      <c r="G118" t="s">
        <v>317</v>
      </c>
    </row>
    <row r="119" spans="1:7">
      <c r="C119" t="s">
        <v>154</v>
      </c>
      <c r="D119" t="s">
        <v>155</v>
      </c>
      <c r="E119">
        <v>4</v>
      </c>
      <c r="F119" t="s">
        <v>583</v>
      </c>
      <c r="G119" t="s">
        <v>317</v>
      </c>
    </row>
    <row r="120" spans="1:7">
      <c r="C120" t="s">
        <v>172</v>
      </c>
      <c r="D120" t="s">
        <v>173</v>
      </c>
      <c r="E120">
        <v>3</v>
      </c>
      <c r="F120" t="s">
        <v>592</v>
      </c>
      <c r="G120" t="s">
        <v>317</v>
      </c>
    </row>
    <row r="121" spans="1:7">
      <c r="C121" t="s">
        <v>174</v>
      </c>
      <c r="D121" t="s">
        <v>175</v>
      </c>
      <c r="E121">
        <v>3</v>
      </c>
      <c r="F121" t="s">
        <v>593</v>
      </c>
      <c r="G121" t="s">
        <v>317</v>
      </c>
    </row>
    <row r="122" spans="1:7">
      <c r="C122" t="s">
        <v>164</v>
      </c>
      <c r="D122" t="s">
        <v>165</v>
      </c>
      <c r="E122">
        <v>3</v>
      </c>
      <c r="F122" t="s">
        <v>588</v>
      </c>
      <c r="G122" t="s">
        <v>317</v>
      </c>
    </row>
    <row r="123" spans="1:7">
      <c r="C123" t="s">
        <v>168</v>
      </c>
      <c r="D123" t="s">
        <v>169</v>
      </c>
      <c r="E123">
        <v>3</v>
      </c>
      <c r="F123" t="s">
        <v>590</v>
      </c>
      <c r="G123" t="s">
        <v>317</v>
      </c>
    </row>
    <row r="124" spans="1:7">
      <c r="C124" t="s">
        <v>124</v>
      </c>
      <c r="D124" t="s">
        <v>125</v>
      </c>
      <c r="E124">
        <v>3</v>
      </c>
      <c r="F124" t="s">
        <v>569</v>
      </c>
      <c r="G124" t="s">
        <v>317</v>
      </c>
    </row>
    <row r="125" spans="1:7">
      <c r="B125" t="s">
        <v>190</v>
      </c>
      <c r="E125">
        <v>3</v>
      </c>
    </row>
    <row r="126" spans="1:7">
      <c r="C126" t="s">
        <v>188</v>
      </c>
      <c r="D126" t="s">
        <v>189</v>
      </c>
      <c r="E126">
        <v>3</v>
      </c>
    </row>
    <row r="127" spans="1:7">
      <c r="A127" t="s">
        <v>191</v>
      </c>
      <c r="E127">
        <v>18</v>
      </c>
    </row>
    <row r="128" spans="1:7">
      <c r="B128" t="s">
        <v>183</v>
      </c>
      <c r="E128">
        <v>6</v>
      </c>
    </row>
    <row r="129" spans="2:7">
      <c r="C129" t="s">
        <v>103</v>
      </c>
      <c r="D129" t="s">
        <v>104</v>
      </c>
      <c r="E129">
        <v>3</v>
      </c>
      <c r="F129" t="s">
        <v>559</v>
      </c>
      <c r="G129" t="s">
        <v>317</v>
      </c>
    </row>
    <row r="130" spans="2:7">
      <c r="C130" t="s">
        <v>105</v>
      </c>
      <c r="D130" t="s">
        <v>106</v>
      </c>
      <c r="E130">
        <v>3</v>
      </c>
      <c r="F130" t="s">
        <v>560</v>
      </c>
      <c r="G130" t="s">
        <v>317</v>
      </c>
    </row>
    <row r="131" spans="2:7">
      <c r="B131" t="s">
        <v>187</v>
      </c>
      <c r="E131">
        <v>9</v>
      </c>
    </row>
    <row r="132" spans="2:7">
      <c r="C132" t="s">
        <v>177</v>
      </c>
      <c r="D132" t="s">
        <v>178</v>
      </c>
      <c r="E132">
        <v>3</v>
      </c>
      <c r="F132" t="s">
        <v>594</v>
      </c>
      <c r="G132" t="s">
        <v>317</v>
      </c>
    </row>
    <row r="133" spans="2:7">
      <c r="C133" t="s">
        <v>91</v>
      </c>
      <c r="D133" t="s">
        <v>92</v>
      </c>
      <c r="E133">
        <v>3</v>
      </c>
      <c r="F133" t="s">
        <v>553</v>
      </c>
      <c r="G133" t="s">
        <v>317</v>
      </c>
    </row>
    <row r="134" spans="2:7">
      <c r="C134" t="s">
        <v>179</v>
      </c>
      <c r="D134" t="s">
        <v>180</v>
      </c>
      <c r="E134">
        <v>3</v>
      </c>
      <c r="F134" t="s">
        <v>595</v>
      </c>
      <c r="G134" t="s">
        <v>317</v>
      </c>
    </row>
    <row r="135" spans="2:7">
      <c r="C135" t="s">
        <v>93</v>
      </c>
      <c r="D135" t="s">
        <v>94</v>
      </c>
      <c r="E135">
        <v>3</v>
      </c>
      <c r="F135" t="s">
        <v>554</v>
      </c>
      <c r="G135" t="s">
        <v>317</v>
      </c>
    </row>
    <row r="136" spans="2:7">
      <c r="C136" t="s">
        <v>95</v>
      </c>
      <c r="D136" t="s">
        <v>96</v>
      </c>
      <c r="E136">
        <v>3</v>
      </c>
      <c r="F136" t="s">
        <v>555</v>
      </c>
      <c r="G136" t="s">
        <v>317</v>
      </c>
    </row>
    <row r="137" spans="2:7">
      <c r="C137" t="s">
        <v>181</v>
      </c>
      <c r="D137" t="s">
        <v>182</v>
      </c>
      <c r="E137">
        <v>3</v>
      </c>
      <c r="F137" t="s">
        <v>596</v>
      </c>
      <c r="G137" t="s">
        <v>317</v>
      </c>
    </row>
    <row r="138" spans="2:7">
      <c r="C138" t="s">
        <v>97</v>
      </c>
      <c r="D138" t="s">
        <v>98</v>
      </c>
      <c r="E138">
        <v>4</v>
      </c>
      <c r="F138" t="s">
        <v>556</v>
      </c>
      <c r="G138" t="s">
        <v>317</v>
      </c>
    </row>
    <row r="139" spans="2:7">
      <c r="C139" t="s">
        <v>99</v>
      </c>
      <c r="D139" t="s">
        <v>100</v>
      </c>
      <c r="E139">
        <v>3</v>
      </c>
      <c r="F139" t="s">
        <v>557</v>
      </c>
      <c r="G139" t="s">
        <v>317</v>
      </c>
    </row>
    <row r="140" spans="2:7">
      <c r="C140" t="s">
        <v>101</v>
      </c>
      <c r="D140" t="s">
        <v>102</v>
      </c>
      <c r="E140">
        <v>0</v>
      </c>
      <c r="F140" t="s">
        <v>558</v>
      </c>
      <c r="G140" t="s">
        <v>317</v>
      </c>
    </row>
    <row r="141" spans="2:7">
      <c r="C141" t="s">
        <v>174</v>
      </c>
      <c r="D141" t="s">
        <v>175</v>
      </c>
      <c r="E141">
        <v>3</v>
      </c>
      <c r="F141" t="s">
        <v>592</v>
      </c>
      <c r="G141" t="s">
        <v>317</v>
      </c>
    </row>
    <row r="142" spans="2:7">
      <c r="C142" t="s">
        <v>172</v>
      </c>
      <c r="D142" t="s">
        <v>173</v>
      </c>
      <c r="E142">
        <v>3</v>
      </c>
      <c r="F142" t="s">
        <v>593</v>
      </c>
      <c r="G142" t="s">
        <v>317</v>
      </c>
    </row>
    <row r="143" spans="2:7">
      <c r="C143" t="s">
        <v>168</v>
      </c>
      <c r="D143" t="s">
        <v>169</v>
      </c>
      <c r="E143">
        <v>3</v>
      </c>
      <c r="F143" t="s">
        <v>590</v>
      </c>
      <c r="G143" t="s">
        <v>317</v>
      </c>
    </row>
    <row r="144" spans="2:7">
      <c r="B144" t="s">
        <v>190</v>
      </c>
      <c r="E144">
        <v>3</v>
      </c>
    </row>
    <row r="145" spans="1:7">
      <c r="C145" t="s">
        <v>188</v>
      </c>
      <c r="D145" t="s">
        <v>189</v>
      </c>
      <c r="E145">
        <v>3</v>
      </c>
    </row>
    <row r="146" spans="1:7">
      <c r="A146" t="s">
        <v>192</v>
      </c>
      <c r="E146">
        <v>18</v>
      </c>
    </row>
    <row r="147" spans="1:7">
      <c r="B147" t="s">
        <v>183</v>
      </c>
      <c r="E147">
        <v>9</v>
      </c>
    </row>
    <row r="148" spans="1:7">
      <c r="C148" t="s">
        <v>87</v>
      </c>
      <c r="D148" t="s">
        <v>88</v>
      </c>
      <c r="E148">
        <v>3</v>
      </c>
      <c r="F148" t="s">
        <v>551</v>
      </c>
      <c r="G148" t="s">
        <v>317</v>
      </c>
    </row>
    <row r="149" spans="1:7">
      <c r="C149" t="s">
        <v>193</v>
      </c>
      <c r="D149" t="s">
        <v>298</v>
      </c>
      <c r="E149">
        <v>3</v>
      </c>
      <c r="F149" t="s">
        <v>597</v>
      </c>
      <c r="G149" t="s">
        <v>317</v>
      </c>
    </row>
    <row r="150" spans="1:7">
      <c r="C150" t="s">
        <v>194</v>
      </c>
      <c r="D150" t="s">
        <v>299</v>
      </c>
      <c r="E150">
        <v>3</v>
      </c>
      <c r="F150" t="s">
        <v>598</v>
      </c>
      <c r="G150" t="s">
        <v>317</v>
      </c>
    </row>
    <row r="151" spans="1:7">
      <c r="B151" t="s">
        <v>187</v>
      </c>
      <c r="E151">
        <v>3</v>
      </c>
    </row>
    <row r="152" spans="1:7">
      <c r="C152" t="s">
        <v>195</v>
      </c>
      <c r="D152" t="s">
        <v>300</v>
      </c>
      <c r="E152">
        <v>3</v>
      </c>
      <c r="F152" t="s">
        <v>599</v>
      </c>
      <c r="G152" t="s">
        <v>317</v>
      </c>
    </row>
    <row r="153" spans="1:7">
      <c r="C153" t="s">
        <v>89</v>
      </c>
      <c r="D153" t="s">
        <v>90</v>
      </c>
      <c r="E153">
        <v>3</v>
      </c>
      <c r="F153" t="s">
        <v>552</v>
      </c>
      <c r="G153" t="s">
        <v>317</v>
      </c>
    </row>
    <row r="154" spans="1:7">
      <c r="B154" t="s">
        <v>190</v>
      </c>
      <c r="E154">
        <v>3</v>
      </c>
    </row>
    <row r="155" spans="1:7">
      <c r="C155" t="s">
        <v>188</v>
      </c>
      <c r="D155" t="s">
        <v>189</v>
      </c>
      <c r="E155">
        <v>3</v>
      </c>
      <c r="F155" t="s">
        <v>624</v>
      </c>
      <c r="G155" t="s">
        <v>321</v>
      </c>
    </row>
    <row r="156" spans="1:7">
      <c r="B156" t="s">
        <v>196</v>
      </c>
      <c r="E156">
        <v>3</v>
      </c>
    </row>
    <row r="157" spans="1:7">
      <c r="C157" t="s">
        <v>199</v>
      </c>
      <c r="D157" t="s">
        <v>198</v>
      </c>
      <c r="E157">
        <v>3</v>
      </c>
      <c r="F157" t="s">
        <v>619</v>
      </c>
      <c r="G157" t="s">
        <v>317</v>
      </c>
    </row>
    <row r="158" spans="1:7">
      <c r="A158" t="s">
        <v>200</v>
      </c>
      <c r="E158">
        <v>18</v>
      </c>
    </row>
    <row r="159" spans="1:7">
      <c r="B159" t="s">
        <v>187</v>
      </c>
      <c r="E159">
        <v>15</v>
      </c>
    </row>
    <row r="160" spans="1:7">
      <c r="C160" t="s">
        <v>199</v>
      </c>
      <c r="D160" t="s">
        <v>204</v>
      </c>
      <c r="E160">
        <v>3</v>
      </c>
      <c r="F160" t="s">
        <v>619</v>
      </c>
      <c r="G160" t="s">
        <v>317</v>
      </c>
    </row>
    <row r="161" spans="2:7">
      <c r="C161" t="s">
        <v>201</v>
      </c>
      <c r="D161" t="s">
        <v>204</v>
      </c>
      <c r="E161">
        <v>3</v>
      </c>
      <c r="F161" t="s">
        <v>620</v>
      </c>
      <c r="G161" t="s">
        <v>317</v>
      </c>
    </row>
    <row r="162" spans="2:7">
      <c r="C162" t="s">
        <v>202</v>
      </c>
      <c r="D162" t="s">
        <v>204</v>
      </c>
      <c r="E162">
        <v>3</v>
      </c>
      <c r="F162" t="s">
        <v>621</v>
      </c>
      <c r="G162" t="s">
        <v>317</v>
      </c>
    </row>
    <row r="163" spans="2:7">
      <c r="C163" t="s">
        <v>203</v>
      </c>
      <c r="D163" t="s">
        <v>204</v>
      </c>
      <c r="E163">
        <v>3</v>
      </c>
      <c r="F163" t="s">
        <v>622</v>
      </c>
      <c r="G163" t="s">
        <v>317</v>
      </c>
    </row>
    <row r="164" spans="2:7">
      <c r="C164" t="s">
        <v>197</v>
      </c>
      <c r="D164" t="s">
        <v>205</v>
      </c>
      <c r="E164">
        <v>3</v>
      </c>
      <c r="F164" t="s">
        <v>623</v>
      </c>
      <c r="G164" t="s">
        <v>317</v>
      </c>
    </row>
    <row r="165" spans="2:7">
      <c r="B165" t="s">
        <v>190</v>
      </c>
      <c r="E165">
        <v>3</v>
      </c>
    </row>
    <row r="166" spans="2:7">
      <c r="C166" t="s">
        <v>188</v>
      </c>
      <c r="D166" t="s">
        <v>189</v>
      </c>
      <c r="E166">
        <v>3</v>
      </c>
      <c r="F166" t="s">
        <v>624</v>
      </c>
      <c r="G166" t="s">
        <v>321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75509-8C78-4D61-B0DF-C3C894433115}">
  <dimension ref="A1:J98"/>
  <sheetViews>
    <sheetView topLeftCell="A51" workbookViewId="0">
      <selection activeCell="A74" sqref="A74"/>
    </sheetView>
  </sheetViews>
  <sheetFormatPr baseColWidth="10" defaultRowHeight="15"/>
  <cols>
    <col min="4" max="4" width="21" customWidth="1"/>
    <col min="5" max="5" width="26.28515625" customWidth="1"/>
    <col min="6" max="6" width="15.7109375" customWidth="1"/>
    <col min="7" max="7" width="93.140625" customWidth="1"/>
  </cols>
  <sheetData>
    <row r="1" spans="1:10">
      <c r="A1" t="s">
        <v>337</v>
      </c>
      <c r="B1" t="s">
        <v>338</v>
      </c>
      <c r="C1" t="s">
        <v>339</v>
      </c>
      <c r="D1" t="s">
        <v>340</v>
      </c>
      <c r="E1" t="s">
        <v>600</v>
      </c>
      <c r="G1" t="s">
        <v>341</v>
      </c>
      <c r="H1" t="s">
        <v>342</v>
      </c>
      <c r="I1" t="s">
        <v>343</v>
      </c>
    </row>
    <row r="2" spans="1:10">
      <c r="A2" t="s">
        <v>65</v>
      </c>
      <c r="B2" t="s">
        <v>66</v>
      </c>
      <c r="C2">
        <v>3</v>
      </c>
      <c r="D2" t="s">
        <v>302</v>
      </c>
      <c r="E2" t="s">
        <v>302</v>
      </c>
      <c r="F2" t="b">
        <f>EXACT(D2,E2)</f>
        <v>1</v>
      </c>
      <c r="G2" t="s">
        <v>344</v>
      </c>
      <c r="H2" t="s">
        <v>539</v>
      </c>
      <c r="I2" t="s">
        <v>321</v>
      </c>
      <c r="J2" t="e">
        <f>_xlfn.XLOOKUP($A2,#REF!,#REF!,NA(),0,1)</f>
        <v>#REF!</v>
      </c>
    </row>
    <row r="3" spans="1:10">
      <c r="A3" t="s">
        <v>87</v>
      </c>
      <c r="B3" t="s">
        <v>88</v>
      </c>
      <c r="C3">
        <v>3</v>
      </c>
      <c r="D3" t="s">
        <v>302</v>
      </c>
      <c r="E3" t="s">
        <v>302</v>
      </c>
      <c r="F3" t="b">
        <f t="shared" ref="F3:F66" si="0">EXACT(D3,E3)</f>
        <v>1</v>
      </c>
      <c r="G3" t="s">
        <v>345</v>
      </c>
      <c r="H3" t="s">
        <v>551</v>
      </c>
      <c r="I3" t="s">
        <v>317</v>
      </c>
      <c r="J3" t="e">
        <f>_xlfn.XLOOKUP($A3,#REF!,#REF!,NA(),0,1)</f>
        <v>#REF!</v>
      </c>
    </row>
    <row r="4" spans="1:10">
      <c r="A4" t="s">
        <v>195</v>
      </c>
      <c r="B4" t="s">
        <v>300</v>
      </c>
      <c r="C4">
        <v>3</v>
      </c>
      <c r="D4" t="s">
        <v>302</v>
      </c>
      <c r="E4" t="s">
        <v>302</v>
      </c>
      <c r="F4" t="b">
        <f t="shared" si="0"/>
        <v>1</v>
      </c>
      <c r="G4" t="s">
        <v>346</v>
      </c>
      <c r="H4" t="s">
        <v>599</v>
      </c>
      <c r="I4" t="s">
        <v>317</v>
      </c>
      <c r="J4" t="e">
        <f>_xlfn.XLOOKUP($A4,#REF!,#REF!,NA(),0,1)</f>
        <v>#REF!</v>
      </c>
    </row>
    <row r="5" spans="1:10">
      <c r="A5" t="s">
        <v>193</v>
      </c>
      <c r="B5" t="s">
        <v>298</v>
      </c>
      <c r="C5">
        <v>3</v>
      </c>
      <c r="D5" t="s">
        <v>481</v>
      </c>
      <c r="E5" t="s">
        <v>481</v>
      </c>
      <c r="F5" t="b">
        <f t="shared" si="0"/>
        <v>1</v>
      </c>
      <c r="G5" t="s">
        <v>347</v>
      </c>
      <c r="H5" t="s">
        <v>597</v>
      </c>
      <c r="I5" t="s">
        <v>317</v>
      </c>
      <c r="J5" t="e">
        <f>_xlfn.XLOOKUP($A5,#REF!,#REF!,NA(),0,1)</f>
        <v>#REF!</v>
      </c>
    </row>
    <row r="6" spans="1:10">
      <c r="A6" t="s">
        <v>194</v>
      </c>
      <c r="B6" t="s">
        <v>299</v>
      </c>
      <c r="C6">
        <v>3</v>
      </c>
      <c r="D6" t="s">
        <v>193</v>
      </c>
      <c r="E6" t="s">
        <v>193</v>
      </c>
      <c r="F6" t="b">
        <f t="shared" si="0"/>
        <v>1</v>
      </c>
      <c r="G6" t="s">
        <v>348</v>
      </c>
      <c r="H6" t="s">
        <v>598</v>
      </c>
      <c r="I6" t="s">
        <v>317</v>
      </c>
      <c r="J6" t="e">
        <f>_xlfn.XLOOKUP($A6,#REF!,#REF!,NA(),0,1)</f>
        <v>#REF!</v>
      </c>
    </row>
    <row r="7" spans="1:10">
      <c r="A7" t="s">
        <v>89</v>
      </c>
      <c r="B7" t="s">
        <v>90</v>
      </c>
      <c r="C7">
        <v>3</v>
      </c>
      <c r="D7" t="s">
        <v>482</v>
      </c>
      <c r="E7" t="s">
        <v>482</v>
      </c>
      <c r="F7" t="b">
        <f t="shared" si="0"/>
        <v>1</v>
      </c>
      <c r="G7" t="s">
        <v>349</v>
      </c>
      <c r="H7" t="s">
        <v>552</v>
      </c>
      <c r="I7" t="s">
        <v>317</v>
      </c>
      <c r="J7" t="e">
        <f>_xlfn.XLOOKUP($A7,#REF!,#REF!,NA(),0,1)</f>
        <v>#REF!</v>
      </c>
    </row>
    <row r="8" spans="1:10">
      <c r="A8" t="s">
        <v>160</v>
      </c>
      <c r="B8" t="s">
        <v>161</v>
      </c>
      <c r="C8">
        <v>3</v>
      </c>
      <c r="D8" t="s">
        <v>350</v>
      </c>
      <c r="E8" t="s">
        <v>350</v>
      </c>
      <c r="F8" t="b">
        <f t="shared" si="0"/>
        <v>1</v>
      </c>
      <c r="G8" t="s">
        <v>351</v>
      </c>
      <c r="H8" t="s">
        <v>586</v>
      </c>
      <c r="I8" t="s">
        <v>317</v>
      </c>
      <c r="J8" t="e">
        <f>_xlfn.XLOOKUP($A8,#REF!,#REF!,NA(),0,1)</f>
        <v>#REF!</v>
      </c>
    </row>
    <row r="9" spans="1:10">
      <c r="A9" t="s">
        <v>177</v>
      </c>
      <c r="B9" t="s">
        <v>178</v>
      </c>
      <c r="C9">
        <v>3</v>
      </c>
      <c r="D9" t="s">
        <v>352</v>
      </c>
      <c r="E9" t="s">
        <v>352</v>
      </c>
      <c r="F9" t="b">
        <f t="shared" si="0"/>
        <v>1</v>
      </c>
      <c r="G9" t="s">
        <v>353</v>
      </c>
      <c r="H9" t="s">
        <v>594</v>
      </c>
      <c r="I9" t="s">
        <v>317</v>
      </c>
      <c r="J9" t="e">
        <f>_xlfn.XLOOKUP($A9,#REF!,#REF!,NA(),0,1)</f>
        <v>#REF!</v>
      </c>
    </row>
    <row r="10" spans="1:10">
      <c r="A10" t="s">
        <v>91</v>
      </c>
      <c r="B10" t="s">
        <v>92</v>
      </c>
      <c r="C10">
        <v>3</v>
      </c>
      <c r="D10" t="s">
        <v>302</v>
      </c>
      <c r="E10" t="s">
        <v>302</v>
      </c>
      <c r="F10" t="b">
        <f t="shared" si="0"/>
        <v>1</v>
      </c>
      <c r="G10" t="s">
        <v>354</v>
      </c>
      <c r="H10" t="s">
        <v>553</v>
      </c>
      <c r="I10" t="s">
        <v>317</v>
      </c>
      <c r="J10" t="e">
        <f>_xlfn.XLOOKUP($A10,#REF!,#REF!,NA(),0,1)</f>
        <v>#REF!</v>
      </c>
    </row>
    <row r="11" spans="1:10">
      <c r="A11" t="s">
        <v>179</v>
      </c>
      <c r="B11" t="s">
        <v>180</v>
      </c>
      <c r="C11">
        <v>3</v>
      </c>
      <c r="D11" t="s">
        <v>355</v>
      </c>
      <c r="E11" t="s">
        <v>355</v>
      </c>
      <c r="F11" t="b">
        <f t="shared" si="0"/>
        <v>1</v>
      </c>
      <c r="G11" t="s">
        <v>356</v>
      </c>
      <c r="H11" t="s">
        <v>595</v>
      </c>
      <c r="I11" t="s">
        <v>317</v>
      </c>
      <c r="J11" t="e">
        <f>_xlfn.XLOOKUP($A11,#REF!,#REF!,NA(),0,1)</f>
        <v>#REF!</v>
      </c>
    </row>
    <row r="12" spans="1:10">
      <c r="A12" t="s">
        <v>93</v>
      </c>
      <c r="B12" t="s">
        <v>94</v>
      </c>
      <c r="C12">
        <v>3</v>
      </c>
      <c r="D12" t="s">
        <v>355</v>
      </c>
      <c r="E12" t="s">
        <v>355</v>
      </c>
      <c r="F12" t="b">
        <f t="shared" si="0"/>
        <v>1</v>
      </c>
      <c r="G12" t="s">
        <v>357</v>
      </c>
      <c r="H12" t="s">
        <v>554</v>
      </c>
      <c r="I12" t="s">
        <v>317</v>
      </c>
      <c r="J12" t="e">
        <f>_xlfn.XLOOKUP($A12,#REF!,#REF!,NA(),0,1)</f>
        <v>#REF!</v>
      </c>
    </row>
    <row r="13" spans="1:10">
      <c r="A13" t="s">
        <v>95</v>
      </c>
      <c r="B13" t="s">
        <v>96</v>
      </c>
      <c r="C13">
        <v>3</v>
      </c>
      <c r="D13" t="s">
        <v>483</v>
      </c>
      <c r="E13" t="s">
        <v>483</v>
      </c>
      <c r="F13" t="b">
        <f t="shared" si="0"/>
        <v>1</v>
      </c>
      <c r="G13" t="s">
        <v>358</v>
      </c>
      <c r="H13" t="s">
        <v>555</v>
      </c>
      <c r="I13" t="s">
        <v>317</v>
      </c>
      <c r="J13" t="e">
        <f>_xlfn.XLOOKUP($A13,#REF!,#REF!,NA(),0,1)</f>
        <v>#REF!</v>
      </c>
    </row>
    <row r="14" spans="1:10">
      <c r="A14" t="s">
        <v>181</v>
      </c>
      <c r="B14" t="s">
        <v>182</v>
      </c>
      <c r="C14">
        <v>3</v>
      </c>
      <c r="D14" t="s">
        <v>302</v>
      </c>
      <c r="E14" t="s">
        <v>302</v>
      </c>
      <c r="F14" t="b">
        <f t="shared" si="0"/>
        <v>1</v>
      </c>
      <c r="G14" t="s">
        <v>359</v>
      </c>
      <c r="H14" t="s">
        <v>596</v>
      </c>
      <c r="I14" t="s">
        <v>317</v>
      </c>
      <c r="J14" t="e">
        <f>_xlfn.XLOOKUP($A14,#REF!,#REF!,NA(),0,1)</f>
        <v>#REF!</v>
      </c>
    </row>
    <row r="15" spans="1:10">
      <c r="A15" t="s">
        <v>144</v>
      </c>
      <c r="B15" t="s">
        <v>145</v>
      </c>
      <c r="C15">
        <v>3</v>
      </c>
      <c r="D15" t="s">
        <v>360</v>
      </c>
      <c r="E15" t="s">
        <v>601</v>
      </c>
      <c r="F15" t="b">
        <f t="shared" si="0"/>
        <v>0</v>
      </c>
      <c r="G15" t="s">
        <v>361</v>
      </c>
      <c r="H15" t="s">
        <v>145</v>
      </c>
      <c r="I15" t="s">
        <v>317</v>
      </c>
      <c r="J15" t="e">
        <f>_xlfn.XLOOKUP($A15,#REF!,#REF!,NA(),0,1)</f>
        <v>#REF!</v>
      </c>
    </row>
    <row r="16" spans="1:10">
      <c r="A16" t="s">
        <v>97</v>
      </c>
      <c r="B16" t="s">
        <v>98</v>
      </c>
      <c r="C16">
        <v>4</v>
      </c>
      <c r="D16" t="s">
        <v>362</v>
      </c>
      <c r="E16" t="s">
        <v>362</v>
      </c>
      <c r="F16" t="b">
        <f t="shared" si="0"/>
        <v>1</v>
      </c>
      <c r="G16" t="s">
        <v>363</v>
      </c>
      <c r="H16" t="s">
        <v>556</v>
      </c>
      <c r="I16" t="s">
        <v>317</v>
      </c>
      <c r="J16" t="e">
        <f>_xlfn.XLOOKUP($A16,#REF!,#REF!,NA(),0,1)</f>
        <v>#REF!</v>
      </c>
    </row>
    <row r="17" spans="1:10">
      <c r="A17" t="s">
        <v>99</v>
      </c>
      <c r="B17" t="s">
        <v>100</v>
      </c>
      <c r="C17">
        <v>3</v>
      </c>
      <c r="D17" t="s">
        <v>364</v>
      </c>
      <c r="E17" t="s">
        <v>364</v>
      </c>
      <c r="F17" t="b">
        <f t="shared" si="0"/>
        <v>1</v>
      </c>
      <c r="G17" t="s">
        <v>365</v>
      </c>
      <c r="H17" t="s">
        <v>557</v>
      </c>
      <c r="I17" t="s">
        <v>317</v>
      </c>
      <c r="J17" t="e">
        <f>_xlfn.XLOOKUP($A17,#REF!,#REF!,NA(),0,1)</f>
        <v>#REF!</v>
      </c>
    </row>
    <row r="18" spans="1:10">
      <c r="A18" t="s">
        <v>146</v>
      </c>
      <c r="B18" t="s">
        <v>147</v>
      </c>
      <c r="C18">
        <v>3</v>
      </c>
      <c r="D18" t="s">
        <v>366</v>
      </c>
      <c r="E18" t="s">
        <v>366</v>
      </c>
      <c r="F18" t="b">
        <f t="shared" si="0"/>
        <v>1</v>
      </c>
      <c r="G18" t="s">
        <v>367</v>
      </c>
      <c r="H18" t="s">
        <v>579</v>
      </c>
      <c r="I18" t="s">
        <v>317</v>
      </c>
      <c r="J18" t="e">
        <f>_xlfn.XLOOKUP($A18,#REF!,#REF!,NA(),0,1)</f>
        <v>#REF!</v>
      </c>
    </row>
    <row r="19" spans="1:10">
      <c r="A19" t="s">
        <v>101</v>
      </c>
      <c r="B19" t="s">
        <v>102</v>
      </c>
      <c r="D19" t="s">
        <v>302</v>
      </c>
      <c r="E19" t="s">
        <v>302</v>
      </c>
      <c r="F19" t="b">
        <f t="shared" si="0"/>
        <v>1</v>
      </c>
      <c r="G19" t="s">
        <v>368</v>
      </c>
      <c r="H19" t="s">
        <v>558</v>
      </c>
      <c r="I19" t="s">
        <v>317</v>
      </c>
      <c r="J19" t="e">
        <f>_xlfn.XLOOKUP($A19,#REF!,#REF!,NA(),0,1)</f>
        <v>#REF!</v>
      </c>
    </row>
    <row r="20" spans="1:10">
      <c r="A20" t="s">
        <v>148</v>
      </c>
      <c r="B20" t="s">
        <v>149</v>
      </c>
      <c r="C20">
        <v>3</v>
      </c>
      <c r="D20" t="s">
        <v>369</v>
      </c>
      <c r="E20" t="s">
        <v>369</v>
      </c>
      <c r="F20" t="b">
        <f t="shared" si="0"/>
        <v>1</v>
      </c>
      <c r="G20" t="s">
        <v>370</v>
      </c>
      <c r="H20" t="s">
        <v>580</v>
      </c>
      <c r="I20" t="s">
        <v>317</v>
      </c>
      <c r="J20" t="e">
        <f>_xlfn.XLOOKUP($A20,#REF!,#REF!,NA(),0,1)</f>
        <v>#REF!</v>
      </c>
    </row>
    <row r="21" spans="1:10">
      <c r="A21" t="s">
        <v>130</v>
      </c>
      <c r="B21" t="s">
        <v>131</v>
      </c>
      <c r="C21">
        <v>3</v>
      </c>
      <c r="D21" t="s">
        <v>371</v>
      </c>
      <c r="E21" t="s">
        <v>371</v>
      </c>
      <c r="F21" t="b">
        <f t="shared" si="0"/>
        <v>1</v>
      </c>
      <c r="G21" t="s">
        <v>372</v>
      </c>
      <c r="H21" t="s">
        <v>572</v>
      </c>
      <c r="I21" t="s">
        <v>317</v>
      </c>
      <c r="J21" t="e">
        <f>_xlfn.XLOOKUP($A21,#REF!,#REF!,NA(),0,1)</f>
        <v>#REF!</v>
      </c>
    </row>
    <row r="22" spans="1:10">
      <c r="A22" t="s">
        <v>108</v>
      </c>
      <c r="B22" t="s">
        <v>109</v>
      </c>
      <c r="C22">
        <v>3</v>
      </c>
      <c r="D22" t="s">
        <v>373</v>
      </c>
      <c r="E22" t="s">
        <v>373</v>
      </c>
      <c r="F22" t="b">
        <f t="shared" si="0"/>
        <v>1</v>
      </c>
      <c r="G22" t="s">
        <v>374</v>
      </c>
      <c r="H22" t="s">
        <v>562</v>
      </c>
      <c r="I22" t="s">
        <v>317</v>
      </c>
      <c r="J22" t="e">
        <f>_xlfn.XLOOKUP($A22,#REF!,#REF!,NA(),0,1)</f>
        <v>#REF!</v>
      </c>
    </row>
    <row r="23" spans="1:10">
      <c r="A23" t="s">
        <v>110</v>
      </c>
      <c r="B23" t="s">
        <v>111</v>
      </c>
      <c r="C23">
        <v>3</v>
      </c>
      <c r="D23" t="s">
        <v>20</v>
      </c>
      <c r="E23" t="s">
        <v>20</v>
      </c>
      <c r="F23" t="b">
        <f t="shared" si="0"/>
        <v>1</v>
      </c>
      <c r="G23" t="s">
        <v>375</v>
      </c>
      <c r="H23" t="s">
        <v>563</v>
      </c>
      <c r="I23" t="s">
        <v>317</v>
      </c>
      <c r="J23" t="e">
        <f>_xlfn.XLOOKUP($A23,#REF!,#REF!,NA(),0,1)</f>
        <v>#REF!</v>
      </c>
    </row>
    <row r="24" spans="1:10">
      <c r="A24" t="s">
        <v>112</v>
      </c>
      <c r="B24" t="s">
        <v>113</v>
      </c>
      <c r="C24">
        <v>3</v>
      </c>
      <c r="D24" t="s">
        <v>108</v>
      </c>
      <c r="E24" t="s">
        <v>108</v>
      </c>
      <c r="F24" t="b">
        <f t="shared" si="0"/>
        <v>1</v>
      </c>
      <c r="G24" t="s">
        <v>376</v>
      </c>
      <c r="H24" t="s">
        <v>560</v>
      </c>
      <c r="I24" t="s">
        <v>317</v>
      </c>
      <c r="J24" t="e">
        <f>_xlfn.XLOOKUP($A24,#REF!,#REF!,NA(),0,1)</f>
        <v>#REF!</v>
      </c>
    </row>
    <row r="25" spans="1:10">
      <c r="A25" t="s">
        <v>114</v>
      </c>
      <c r="B25" t="s">
        <v>115</v>
      </c>
      <c r="C25">
        <v>3</v>
      </c>
      <c r="D25" t="s">
        <v>484</v>
      </c>
      <c r="E25" t="s">
        <v>484</v>
      </c>
      <c r="F25" t="b">
        <f t="shared" si="0"/>
        <v>1</v>
      </c>
      <c r="G25" t="s">
        <v>377</v>
      </c>
      <c r="H25" t="s">
        <v>564</v>
      </c>
      <c r="I25" t="s">
        <v>317</v>
      </c>
      <c r="J25" t="e">
        <f>_xlfn.XLOOKUP($A25,#REF!,#REF!,NA(),0,1)</f>
        <v>#REF!</v>
      </c>
    </row>
    <row r="26" spans="1:10">
      <c r="A26" t="s">
        <v>116</v>
      </c>
      <c r="B26" t="s">
        <v>117</v>
      </c>
      <c r="C26">
        <v>3</v>
      </c>
      <c r="D26" t="s">
        <v>110</v>
      </c>
      <c r="E26" t="s">
        <v>110</v>
      </c>
      <c r="F26" t="b">
        <f t="shared" si="0"/>
        <v>1</v>
      </c>
      <c r="G26" t="s">
        <v>378</v>
      </c>
      <c r="H26" t="s">
        <v>565</v>
      </c>
      <c r="I26" t="s">
        <v>317</v>
      </c>
      <c r="J26" t="e">
        <f>_xlfn.XLOOKUP($A26,#REF!,#REF!,NA(),0,1)</f>
        <v>#REF!</v>
      </c>
    </row>
    <row r="27" spans="1:10">
      <c r="A27" t="s">
        <v>118</v>
      </c>
      <c r="B27" t="s">
        <v>119</v>
      </c>
      <c r="C27">
        <v>3</v>
      </c>
      <c r="D27" t="s">
        <v>379</v>
      </c>
      <c r="E27" t="s">
        <v>379</v>
      </c>
      <c r="F27" t="b">
        <f t="shared" si="0"/>
        <v>1</v>
      </c>
      <c r="G27" t="s">
        <v>380</v>
      </c>
      <c r="H27" t="s">
        <v>566</v>
      </c>
      <c r="I27" t="s">
        <v>317</v>
      </c>
      <c r="J27" t="e">
        <f>_xlfn.XLOOKUP($A27,#REF!,#REF!,NA(),0,1)</f>
        <v>#REF!</v>
      </c>
    </row>
    <row r="28" spans="1:10">
      <c r="A28" t="s">
        <v>73</v>
      </c>
      <c r="B28" t="s">
        <v>0</v>
      </c>
      <c r="C28">
        <v>3</v>
      </c>
      <c r="D28" t="s">
        <v>302</v>
      </c>
      <c r="E28" t="s">
        <v>302</v>
      </c>
      <c r="F28" t="b">
        <f t="shared" si="0"/>
        <v>1</v>
      </c>
      <c r="G28" t="s">
        <v>381</v>
      </c>
      <c r="H28" t="s">
        <v>544</v>
      </c>
      <c r="I28" t="s">
        <v>316</v>
      </c>
      <c r="J28" t="e">
        <f>_xlfn.XLOOKUP($A28,#REF!,#REF!,NA(),0,1)</f>
        <v>#REF!</v>
      </c>
    </row>
    <row r="29" spans="1:10">
      <c r="A29" t="s">
        <v>132</v>
      </c>
      <c r="B29" t="s">
        <v>133</v>
      </c>
      <c r="C29">
        <v>3</v>
      </c>
      <c r="D29" t="s">
        <v>382</v>
      </c>
      <c r="E29" t="s">
        <v>382</v>
      </c>
      <c r="F29" t="b">
        <f t="shared" si="0"/>
        <v>1</v>
      </c>
      <c r="G29" t="s">
        <v>383</v>
      </c>
      <c r="H29" t="s">
        <v>573</v>
      </c>
      <c r="I29" t="s">
        <v>317</v>
      </c>
      <c r="J29" t="e">
        <f>_xlfn.XLOOKUP($A29,#REF!,#REF!,NA(),0,1)</f>
        <v>#REF!</v>
      </c>
    </row>
    <row r="30" spans="1:10">
      <c r="A30" t="s">
        <v>150</v>
      </c>
      <c r="B30" t="s">
        <v>151</v>
      </c>
      <c r="C30">
        <v>3</v>
      </c>
      <c r="D30" t="s">
        <v>384</v>
      </c>
      <c r="E30" t="s">
        <v>384</v>
      </c>
      <c r="F30" t="b">
        <f t="shared" si="0"/>
        <v>1</v>
      </c>
      <c r="G30" t="s">
        <v>385</v>
      </c>
      <c r="H30" t="s">
        <v>581</v>
      </c>
      <c r="I30" t="s">
        <v>317</v>
      </c>
      <c r="J30" t="e">
        <f>_xlfn.XLOOKUP($A30,#REF!,#REF!,NA(),0,1)</f>
        <v>#REF!</v>
      </c>
    </row>
    <row r="31" spans="1:10">
      <c r="A31" t="s">
        <v>14</v>
      </c>
      <c r="B31" t="s">
        <v>1</v>
      </c>
      <c r="C31">
        <v>3</v>
      </c>
      <c r="D31" t="s">
        <v>485</v>
      </c>
      <c r="E31" t="s">
        <v>602</v>
      </c>
      <c r="F31" t="b">
        <f t="shared" si="0"/>
        <v>0</v>
      </c>
      <c r="G31" t="s">
        <v>386</v>
      </c>
      <c r="H31" t="s">
        <v>508</v>
      </c>
      <c r="I31" t="s">
        <v>324</v>
      </c>
      <c r="J31" t="e">
        <f>_xlfn.XLOOKUP($A31,#REF!,#REF!,NA(),0,1)</f>
        <v>#REF!</v>
      </c>
    </row>
    <row r="32" spans="1:10">
      <c r="A32" t="s">
        <v>22</v>
      </c>
      <c r="B32" t="s">
        <v>23</v>
      </c>
      <c r="C32">
        <v>3</v>
      </c>
      <c r="D32" t="s">
        <v>360</v>
      </c>
      <c r="E32" t="s">
        <v>360</v>
      </c>
      <c r="F32" t="b">
        <f t="shared" si="0"/>
        <v>1</v>
      </c>
      <c r="G32" t="s">
        <v>387</v>
      </c>
      <c r="H32" t="s">
        <v>516</v>
      </c>
      <c r="I32" t="s">
        <v>308</v>
      </c>
      <c r="J32" t="e">
        <f>_xlfn.XLOOKUP($A32,#REF!,#REF!,NA(),0,1)</f>
        <v>#REF!</v>
      </c>
    </row>
    <row r="33" spans="1:10">
      <c r="A33" t="s">
        <v>18</v>
      </c>
      <c r="B33" t="s">
        <v>5</v>
      </c>
      <c r="C33">
        <v>3</v>
      </c>
      <c r="D33" t="s">
        <v>388</v>
      </c>
      <c r="E33" t="s">
        <v>388</v>
      </c>
      <c r="F33" t="b">
        <f t="shared" si="0"/>
        <v>1</v>
      </c>
      <c r="G33" t="s">
        <v>389</v>
      </c>
      <c r="H33" t="s">
        <v>512</v>
      </c>
      <c r="I33" t="s">
        <v>308</v>
      </c>
      <c r="J33" t="e">
        <f>_xlfn.XLOOKUP($A33,#REF!,#REF!,NA(),0,1)</f>
        <v>#REF!</v>
      </c>
    </row>
    <row r="34" spans="1:10">
      <c r="A34" t="s">
        <v>67</v>
      </c>
      <c r="B34" t="s">
        <v>68</v>
      </c>
      <c r="C34">
        <v>1</v>
      </c>
      <c r="D34" t="s">
        <v>302</v>
      </c>
      <c r="E34" t="s">
        <v>302</v>
      </c>
      <c r="F34" t="b">
        <f t="shared" si="0"/>
        <v>1</v>
      </c>
      <c r="G34" t="s">
        <v>390</v>
      </c>
      <c r="H34" t="s">
        <v>540</v>
      </c>
      <c r="I34" t="s">
        <v>316</v>
      </c>
      <c r="J34" t="e">
        <f>_xlfn.XLOOKUP($A34,#REF!,#REF!,NA(),0,1)</f>
        <v>#REF!</v>
      </c>
    </row>
    <row r="35" spans="1:10">
      <c r="A35" t="s">
        <v>69</v>
      </c>
      <c r="B35" t="s">
        <v>70</v>
      </c>
      <c r="C35">
        <v>1</v>
      </c>
      <c r="D35" t="s">
        <v>302</v>
      </c>
      <c r="E35" t="s">
        <v>302</v>
      </c>
      <c r="F35" t="b">
        <f t="shared" si="0"/>
        <v>1</v>
      </c>
      <c r="G35" t="s">
        <v>391</v>
      </c>
      <c r="H35" t="s">
        <v>541</v>
      </c>
      <c r="I35" t="s">
        <v>321</v>
      </c>
      <c r="J35" t="e">
        <f>_xlfn.XLOOKUP($A35,#REF!,#REF!,NA(),0,1)</f>
        <v>#REF!</v>
      </c>
    </row>
    <row r="36" spans="1:10">
      <c r="A36" t="s">
        <v>15</v>
      </c>
      <c r="B36" t="s">
        <v>2</v>
      </c>
      <c r="C36">
        <v>3</v>
      </c>
      <c r="D36" t="s">
        <v>302</v>
      </c>
      <c r="E36" t="s">
        <v>302</v>
      </c>
      <c r="F36" t="b">
        <f t="shared" si="0"/>
        <v>1</v>
      </c>
      <c r="G36" t="s">
        <v>392</v>
      </c>
      <c r="H36" t="s">
        <v>509</v>
      </c>
      <c r="I36" t="s">
        <v>320</v>
      </c>
      <c r="J36" t="e">
        <f>_xlfn.XLOOKUP($A36,#REF!,#REF!,NA(),0,1)</f>
        <v>#REF!</v>
      </c>
    </row>
    <row r="37" spans="1:10">
      <c r="A37" t="s">
        <v>152</v>
      </c>
      <c r="B37" t="s">
        <v>153</v>
      </c>
      <c r="C37">
        <v>3</v>
      </c>
      <c r="D37" t="s">
        <v>393</v>
      </c>
      <c r="E37" t="s">
        <v>393</v>
      </c>
      <c r="F37" t="b">
        <f t="shared" si="0"/>
        <v>1</v>
      </c>
      <c r="G37" t="s">
        <v>394</v>
      </c>
      <c r="H37" t="s">
        <v>582</v>
      </c>
      <c r="I37" t="s">
        <v>317</v>
      </c>
      <c r="J37" t="e">
        <f>_xlfn.XLOOKUP($A37,#REF!,#REF!,NA(),0,1)</f>
        <v>#REF!</v>
      </c>
    </row>
    <row r="38" spans="1:10">
      <c r="A38" t="s">
        <v>19</v>
      </c>
      <c r="B38" t="s">
        <v>6</v>
      </c>
      <c r="C38">
        <v>3</v>
      </c>
      <c r="D38" t="s">
        <v>395</v>
      </c>
      <c r="E38" t="s">
        <v>395</v>
      </c>
      <c r="F38" t="b">
        <f t="shared" si="0"/>
        <v>1</v>
      </c>
      <c r="G38" t="s">
        <v>396</v>
      </c>
      <c r="H38" t="s">
        <v>513</v>
      </c>
      <c r="I38" t="s">
        <v>324</v>
      </c>
      <c r="J38" t="e">
        <f>_xlfn.XLOOKUP($A38,#REF!,#REF!,NA(),0,1)</f>
        <v>#REF!</v>
      </c>
    </row>
    <row r="39" spans="1:10">
      <c r="A39" t="s">
        <v>24</v>
      </c>
      <c r="B39" t="s">
        <v>25</v>
      </c>
      <c r="C39">
        <v>3</v>
      </c>
      <c r="D39" t="s">
        <v>397</v>
      </c>
      <c r="E39" t="s">
        <v>397</v>
      </c>
      <c r="F39" t="b">
        <f t="shared" si="0"/>
        <v>1</v>
      </c>
      <c r="G39" t="s">
        <v>398</v>
      </c>
      <c r="H39" t="s">
        <v>517</v>
      </c>
      <c r="I39" t="s">
        <v>324</v>
      </c>
      <c r="J39" t="e">
        <f>_xlfn.XLOOKUP($A39,#REF!,#REF!,NA(),0,1)</f>
        <v>#REF!</v>
      </c>
    </row>
    <row r="40" spans="1:10">
      <c r="A40" t="s">
        <v>26</v>
      </c>
      <c r="B40" t="s">
        <v>9</v>
      </c>
      <c r="C40">
        <v>3</v>
      </c>
      <c r="D40" t="s">
        <v>399</v>
      </c>
      <c r="E40" t="s">
        <v>399</v>
      </c>
      <c r="F40" t="b">
        <f t="shared" si="0"/>
        <v>1</v>
      </c>
      <c r="G40" t="s">
        <v>400</v>
      </c>
      <c r="H40" t="s">
        <v>518</v>
      </c>
      <c r="I40" t="s">
        <v>324</v>
      </c>
      <c r="J40" t="e">
        <f>_xlfn.XLOOKUP($A40,#REF!,#REF!,NA(),0,1)</f>
        <v>#REF!</v>
      </c>
    </row>
    <row r="41" spans="1:10">
      <c r="A41" t="s">
        <v>27</v>
      </c>
      <c r="B41" t="s">
        <v>28</v>
      </c>
      <c r="C41">
        <v>3</v>
      </c>
      <c r="D41" t="s">
        <v>18</v>
      </c>
      <c r="E41" t="s">
        <v>18</v>
      </c>
      <c r="F41" t="b">
        <f t="shared" si="0"/>
        <v>1</v>
      </c>
      <c r="G41" t="s">
        <v>401</v>
      </c>
      <c r="H41" t="s">
        <v>519</v>
      </c>
      <c r="I41" t="s">
        <v>308</v>
      </c>
      <c r="J41" t="e">
        <f>_xlfn.XLOOKUP($A41,#REF!,#REF!,NA(),0,1)</f>
        <v>#REF!</v>
      </c>
    </row>
    <row r="42" spans="1:10">
      <c r="A42" t="s">
        <v>29</v>
      </c>
      <c r="B42" t="s">
        <v>30</v>
      </c>
      <c r="C42">
        <v>3</v>
      </c>
      <c r="D42" t="s">
        <v>402</v>
      </c>
      <c r="E42" t="s">
        <v>402</v>
      </c>
      <c r="F42" t="b">
        <f t="shared" si="0"/>
        <v>1</v>
      </c>
      <c r="G42" t="s">
        <v>403</v>
      </c>
      <c r="H42" t="s">
        <v>520</v>
      </c>
      <c r="I42" t="s">
        <v>325</v>
      </c>
      <c r="J42" t="e">
        <f>_xlfn.XLOOKUP($A42,#REF!,#REF!,NA(),0,1)</f>
        <v>#REF!</v>
      </c>
    </row>
    <row r="43" spans="1:10">
      <c r="A43" t="s">
        <v>48</v>
      </c>
      <c r="B43" t="s">
        <v>11</v>
      </c>
      <c r="C43">
        <v>3</v>
      </c>
      <c r="D43" t="s">
        <v>404</v>
      </c>
      <c r="E43" t="s">
        <v>404</v>
      </c>
      <c r="F43" t="b">
        <f t="shared" si="0"/>
        <v>1</v>
      </c>
      <c r="G43" t="s">
        <v>405</v>
      </c>
      <c r="H43" t="s">
        <v>530</v>
      </c>
      <c r="I43" t="s">
        <v>324</v>
      </c>
      <c r="J43" t="e">
        <f>_xlfn.XLOOKUP($A43,#REF!,#REF!,NA(),0,1)</f>
        <v>#REF!</v>
      </c>
    </row>
    <row r="44" spans="1:10">
      <c r="A44" t="s">
        <v>32</v>
      </c>
      <c r="B44" t="s">
        <v>33</v>
      </c>
      <c r="C44">
        <v>3</v>
      </c>
      <c r="D44" t="s">
        <v>22</v>
      </c>
      <c r="E44" t="s">
        <v>22</v>
      </c>
      <c r="F44" t="b">
        <f t="shared" si="0"/>
        <v>1</v>
      </c>
      <c r="G44" t="s">
        <v>406</v>
      </c>
      <c r="H44" t="s">
        <v>522</v>
      </c>
      <c r="I44" t="s">
        <v>308</v>
      </c>
      <c r="J44" t="e">
        <f>_xlfn.XLOOKUP($A44,#REF!,#REF!,NA(),0,1)</f>
        <v>#REF!</v>
      </c>
    </row>
    <row r="45" spans="1:10">
      <c r="A45" t="s">
        <v>31</v>
      </c>
      <c r="B45" t="s">
        <v>10</v>
      </c>
      <c r="C45">
        <v>3</v>
      </c>
      <c r="D45" t="s">
        <v>486</v>
      </c>
      <c r="E45" t="s">
        <v>486</v>
      </c>
      <c r="F45" t="b">
        <f t="shared" si="0"/>
        <v>1</v>
      </c>
      <c r="G45" t="s">
        <v>407</v>
      </c>
      <c r="H45" t="s">
        <v>521</v>
      </c>
      <c r="I45" t="s">
        <v>320</v>
      </c>
      <c r="J45" t="e">
        <f>_xlfn.XLOOKUP($A45,#REF!,#REF!,NA(),0,1)</f>
        <v>#REF!</v>
      </c>
    </row>
    <row r="46" spans="1:10">
      <c r="A46" t="s">
        <v>34</v>
      </c>
      <c r="B46" t="s">
        <v>35</v>
      </c>
      <c r="C46">
        <v>3</v>
      </c>
      <c r="D46" t="s">
        <v>408</v>
      </c>
      <c r="E46" t="s">
        <v>408</v>
      </c>
      <c r="F46" t="b">
        <f t="shared" si="0"/>
        <v>1</v>
      </c>
      <c r="G46" t="s">
        <v>409</v>
      </c>
      <c r="H46" t="s">
        <v>523</v>
      </c>
      <c r="I46" t="s">
        <v>320</v>
      </c>
      <c r="J46" t="e">
        <f>_xlfn.XLOOKUP($A46,#REF!,#REF!,NA(),0,1)</f>
        <v>#REF!</v>
      </c>
    </row>
    <row r="47" spans="1:10">
      <c r="A47" t="s">
        <v>184</v>
      </c>
      <c r="B47" t="s">
        <v>185</v>
      </c>
      <c r="C47">
        <v>9</v>
      </c>
      <c r="D47" t="s">
        <v>487</v>
      </c>
      <c r="E47" t="s">
        <v>487</v>
      </c>
      <c r="F47" t="b">
        <f t="shared" si="0"/>
        <v>1</v>
      </c>
      <c r="G47" t="s">
        <v>410</v>
      </c>
      <c r="H47" t="s">
        <v>543</v>
      </c>
      <c r="I47" t="s">
        <v>312</v>
      </c>
      <c r="J47" t="e">
        <f>_xlfn.XLOOKUP($A47,#REF!,#REF!,NA(),0,1)</f>
        <v>#REF!</v>
      </c>
    </row>
    <row r="48" spans="1:10">
      <c r="A48" t="s">
        <v>36</v>
      </c>
      <c r="B48" t="s">
        <v>37</v>
      </c>
      <c r="C48">
        <v>3</v>
      </c>
      <c r="D48" t="s">
        <v>26</v>
      </c>
      <c r="E48" t="s">
        <v>26</v>
      </c>
      <c r="F48" t="b">
        <f t="shared" si="0"/>
        <v>1</v>
      </c>
      <c r="G48" t="s">
        <v>411</v>
      </c>
      <c r="H48" t="s">
        <v>524</v>
      </c>
      <c r="I48" t="s">
        <v>324</v>
      </c>
      <c r="J48" t="e">
        <f>_xlfn.XLOOKUP($A48,#REF!,#REF!,NA(),0,1)</f>
        <v>#REF!</v>
      </c>
    </row>
    <row r="49" spans="1:10">
      <c r="A49" t="s">
        <v>38</v>
      </c>
      <c r="B49" t="s">
        <v>39</v>
      </c>
      <c r="C49">
        <v>3</v>
      </c>
      <c r="D49" t="s">
        <v>412</v>
      </c>
      <c r="E49" t="s">
        <v>412</v>
      </c>
      <c r="F49" t="b">
        <f t="shared" si="0"/>
        <v>1</v>
      </c>
      <c r="G49" t="s">
        <v>413</v>
      </c>
      <c r="H49" t="s">
        <v>525</v>
      </c>
      <c r="I49" t="s">
        <v>313</v>
      </c>
      <c r="J49" t="e">
        <f>_xlfn.XLOOKUP($A49,#REF!,#REF!,NA(),0,1)</f>
        <v>#REF!</v>
      </c>
    </row>
    <row r="50" spans="1:10">
      <c r="A50" t="s">
        <v>49</v>
      </c>
      <c r="B50" t="s">
        <v>50</v>
      </c>
      <c r="C50">
        <v>3</v>
      </c>
      <c r="D50" t="s">
        <v>24</v>
      </c>
      <c r="E50" t="s">
        <v>24</v>
      </c>
      <c r="F50" t="b">
        <f t="shared" si="0"/>
        <v>1</v>
      </c>
      <c r="G50" t="s">
        <v>414</v>
      </c>
      <c r="H50" t="s">
        <v>531</v>
      </c>
      <c r="I50" t="s">
        <v>324</v>
      </c>
      <c r="J50" t="e">
        <f>_xlfn.XLOOKUP($A50,#REF!,#REF!,NA(),0,1)</f>
        <v>#REF!</v>
      </c>
    </row>
    <row r="51" spans="1:10">
      <c r="A51" t="s">
        <v>40</v>
      </c>
      <c r="B51" t="s">
        <v>41</v>
      </c>
      <c r="C51">
        <v>3</v>
      </c>
      <c r="D51" t="s">
        <v>415</v>
      </c>
      <c r="E51" t="s">
        <v>415</v>
      </c>
      <c r="F51" t="b">
        <f t="shared" si="0"/>
        <v>1</v>
      </c>
      <c r="G51" t="s">
        <v>416</v>
      </c>
      <c r="H51" t="s">
        <v>526</v>
      </c>
      <c r="I51" t="s">
        <v>308</v>
      </c>
      <c r="J51" t="e">
        <f>_xlfn.XLOOKUP($A51,#REF!,#REF!,NA(),0,1)</f>
        <v>#REF!</v>
      </c>
    </row>
    <row r="52" spans="1:10">
      <c r="A52" t="s">
        <v>51</v>
      </c>
      <c r="B52" t="s">
        <v>52</v>
      </c>
      <c r="C52">
        <v>3</v>
      </c>
      <c r="D52" t="s">
        <v>417</v>
      </c>
      <c r="E52" t="s">
        <v>417</v>
      </c>
      <c r="F52" t="b">
        <f t="shared" si="0"/>
        <v>1</v>
      </c>
      <c r="G52" t="s">
        <v>418</v>
      </c>
      <c r="H52" t="s">
        <v>532</v>
      </c>
      <c r="I52" t="s">
        <v>313</v>
      </c>
      <c r="J52" t="e">
        <f>_xlfn.XLOOKUP($A52,#REF!,#REF!,NA(),0,1)</f>
        <v>#REF!</v>
      </c>
    </row>
    <row r="53" spans="1:10">
      <c r="A53" t="s">
        <v>42</v>
      </c>
      <c r="B53" t="s">
        <v>43</v>
      </c>
      <c r="C53">
        <v>3</v>
      </c>
      <c r="D53" t="s">
        <v>488</v>
      </c>
      <c r="E53" t="s">
        <v>488</v>
      </c>
      <c r="F53" t="b">
        <f t="shared" si="0"/>
        <v>1</v>
      </c>
      <c r="G53" t="s">
        <v>419</v>
      </c>
      <c r="H53" t="s">
        <v>527</v>
      </c>
      <c r="I53" t="s">
        <v>321</v>
      </c>
      <c r="J53" t="e">
        <f>_xlfn.XLOOKUP($A53,#REF!,#REF!,NA(),0,1)</f>
        <v>#REF!</v>
      </c>
    </row>
    <row r="54" spans="1:10">
      <c r="A54" t="s">
        <v>103</v>
      </c>
      <c r="B54" t="s">
        <v>104</v>
      </c>
      <c r="C54">
        <v>3</v>
      </c>
      <c r="D54" t="s">
        <v>420</v>
      </c>
      <c r="E54" t="s">
        <v>420</v>
      </c>
      <c r="F54" t="b">
        <f t="shared" si="0"/>
        <v>1</v>
      </c>
      <c r="G54" t="s">
        <v>421</v>
      </c>
      <c r="H54" t="s">
        <v>559</v>
      </c>
      <c r="I54" t="s">
        <v>317</v>
      </c>
      <c r="J54" t="e">
        <f>_xlfn.XLOOKUP($A54,#REF!,#REF!,NA(),0,1)</f>
        <v>#REF!</v>
      </c>
    </row>
    <row r="55" spans="1:10">
      <c r="A55" t="s">
        <v>105</v>
      </c>
      <c r="B55" t="s">
        <v>106</v>
      </c>
      <c r="C55">
        <v>3</v>
      </c>
      <c r="D55" t="s">
        <v>103</v>
      </c>
      <c r="E55" t="s">
        <v>103</v>
      </c>
      <c r="F55" t="b">
        <f t="shared" si="0"/>
        <v>1</v>
      </c>
      <c r="G55" t="s">
        <v>422</v>
      </c>
      <c r="H55" t="s">
        <v>560</v>
      </c>
      <c r="I55" t="s">
        <v>317</v>
      </c>
      <c r="J55" t="e">
        <f>_xlfn.XLOOKUP($A55,#REF!,#REF!,NA(),0,1)</f>
        <v>#REF!</v>
      </c>
    </row>
    <row r="56" spans="1:10">
      <c r="A56" t="s">
        <v>162</v>
      </c>
      <c r="B56" t="s">
        <v>163</v>
      </c>
      <c r="C56">
        <v>3</v>
      </c>
      <c r="D56" t="s">
        <v>489</v>
      </c>
      <c r="E56" t="s">
        <v>489</v>
      </c>
      <c r="F56" t="b">
        <f t="shared" si="0"/>
        <v>1</v>
      </c>
      <c r="G56" t="s">
        <v>423</v>
      </c>
      <c r="H56" t="s">
        <v>587</v>
      </c>
      <c r="I56" t="s">
        <v>317</v>
      </c>
      <c r="J56" t="e">
        <f>_xlfn.XLOOKUP($A56,#REF!,#REF!,NA(),0,1)</f>
        <v>#REF!</v>
      </c>
    </row>
    <row r="57" spans="1:10">
      <c r="A57" t="s">
        <v>55</v>
      </c>
      <c r="B57" t="s">
        <v>56</v>
      </c>
      <c r="C57">
        <v>3</v>
      </c>
      <c r="D57" t="s">
        <v>424</v>
      </c>
      <c r="E57" t="s">
        <v>424</v>
      </c>
      <c r="F57" t="b">
        <f t="shared" si="0"/>
        <v>1</v>
      </c>
      <c r="G57" t="s">
        <v>425</v>
      </c>
      <c r="H57" t="s">
        <v>534</v>
      </c>
      <c r="I57" t="s">
        <v>313</v>
      </c>
      <c r="J57" t="e">
        <f>_xlfn.XLOOKUP($A57,#REF!,#REF!,NA(),0,1)</f>
        <v>#REF!</v>
      </c>
    </row>
    <row r="58" spans="1:10">
      <c r="A58" t="s">
        <v>44</v>
      </c>
      <c r="B58" t="s">
        <v>45</v>
      </c>
      <c r="C58">
        <v>3</v>
      </c>
      <c r="D58" t="s">
        <v>426</v>
      </c>
      <c r="E58" t="s">
        <v>426</v>
      </c>
      <c r="F58" t="b">
        <f t="shared" si="0"/>
        <v>1</v>
      </c>
      <c r="G58" t="s">
        <v>427</v>
      </c>
      <c r="H58" t="s">
        <v>528</v>
      </c>
      <c r="I58" t="s">
        <v>320</v>
      </c>
      <c r="J58" t="e">
        <f>_xlfn.XLOOKUP($A58,#REF!,#REF!,NA(),0,1)</f>
        <v>#REF!</v>
      </c>
    </row>
    <row r="59" spans="1:10">
      <c r="A59" t="s">
        <v>53</v>
      </c>
      <c r="B59" t="s">
        <v>54</v>
      </c>
      <c r="C59">
        <v>3</v>
      </c>
      <c r="D59" t="s">
        <v>428</v>
      </c>
      <c r="E59" t="s">
        <v>428</v>
      </c>
      <c r="F59" t="b">
        <f t="shared" si="0"/>
        <v>1</v>
      </c>
      <c r="G59" t="s">
        <v>429</v>
      </c>
      <c r="H59" t="s">
        <v>533</v>
      </c>
      <c r="I59" t="s">
        <v>320</v>
      </c>
      <c r="J59" t="e">
        <f>_xlfn.XLOOKUP($A59,#REF!,#REF!,NA(),0,1)</f>
        <v>#REF!</v>
      </c>
    </row>
    <row r="60" spans="1:10">
      <c r="A60" t="s">
        <v>57</v>
      </c>
      <c r="B60" t="s">
        <v>58</v>
      </c>
      <c r="C60">
        <v>3</v>
      </c>
      <c r="D60" t="s">
        <v>490</v>
      </c>
      <c r="E60" t="s">
        <v>490</v>
      </c>
      <c r="F60" t="b">
        <f t="shared" si="0"/>
        <v>1</v>
      </c>
      <c r="G60" t="s">
        <v>430</v>
      </c>
      <c r="H60" t="s">
        <v>535</v>
      </c>
      <c r="I60" t="s">
        <v>320</v>
      </c>
      <c r="J60" t="e">
        <f>_xlfn.XLOOKUP($A60,#REF!,#REF!,NA(),0,1)</f>
        <v>#REF!</v>
      </c>
    </row>
    <row r="61" spans="1:10">
      <c r="A61" t="s">
        <v>61</v>
      </c>
      <c r="B61" t="s">
        <v>62</v>
      </c>
      <c r="C61">
        <v>3</v>
      </c>
      <c r="D61" t="s">
        <v>431</v>
      </c>
      <c r="E61" t="s">
        <v>431</v>
      </c>
      <c r="F61" t="b">
        <f t="shared" si="0"/>
        <v>1</v>
      </c>
      <c r="G61" t="s">
        <v>432</v>
      </c>
      <c r="H61" t="s">
        <v>537</v>
      </c>
      <c r="I61" t="s">
        <v>320</v>
      </c>
      <c r="J61" t="e">
        <f>_xlfn.XLOOKUP($A61,#REF!,#REF!,NA(),0,1)</f>
        <v>#REF!</v>
      </c>
    </row>
    <row r="62" spans="1:10">
      <c r="A62" t="s">
        <v>154</v>
      </c>
      <c r="B62" t="s">
        <v>155</v>
      </c>
      <c r="C62">
        <v>4</v>
      </c>
      <c r="D62" t="s">
        <v>51</v>
      </c>
      <c r="E62" t="s">
        <v>51</v>
      </c>
      <c r="F62" t="b">
        <f t="shared" si="0"/>
        <v>1</v>
      </c>
      <c r="G62" t="s">
        <v>433</v>
      </c>
      <c r="H62" t="s">
        <v>583</v>
      </c>
      <c r="I62" t="s">
        <v>317</v>
      </c>
      <c r="J62" t="e">
        <f>_xlfn.XLOOKUP($A62,#REF!,#REF!,NA(),0,1)</f>
        <v>#REF!</v>
      </c>
    </row>
    <row r="63" spans="1:10">
      <c r="A63" t="s">
        <v>156</v>
      </c>
      <c r="B63" t="s">
        <v>157</v>
      </c>
      <c r="C63">
        <v>3</v>
      </c>
      <c r="D63" t="s">
        <v>434</v>
      </c>
      <c r="E63" t="s">
        <v>434</v>
      </c>
      <c r="F63" t="b">
        <f t="shared" si="0"/>
        <v>1</v>
      </c>
      <c r="G63" t="s">
        <v>435</v>
      </c>
      <c r="H63" t="s">
        <v>584</v>
      </c>
      <c r="I63" t="s">
        <v>317</v>
      </c>
      <c r="J63" t="e">
        <f>_xlfn.XLOOKUP($A63,#REF!,#REF!,NA(),0,1)</f>
        <v>#REF!</v>
      </c>
    </row>
    <row r="64" spans="1:10">
      <c r="A64" t="s">
        <v>164</v>
      </c>
      <c r="B64" t="s">
        <v>165</v>
      </c>
      <c r="C64">
        <v>3</v>
      </c>
      <c r="D64" t="s">
        <v>26</v>
      </c>
      <c r="E64" t="s">
        <v>26</v>
      </c>
      <c r="F64" t="b">
        <f t="shared" si="0"/>
        <v>1</v>
      </c>
      <c r="G64" t="s">
        <v>436</v>
      </c>
      <c r="H64" t="s">
        <v>588</v>
      </c>
      <c r="I64" t="s">
        <v>317</v>
      </c>
      <c r="J64" t="e">
        <f>_xlfn.XLOOKUP($A64,#REF!,#REF!,NA(),0,1)</f>
        <v>#REF!</v>
      </c>
    </row>
    <row r="65" spans="1:10">
      <c r="A65" t="s">
        <v>77</v>
      </c>
      <c r="B65" t="s">
        <v>78</v>
      </c>
      <c r="C65">
        <v>3</v>
      </c>
      <c r="D65" t="s">
        <v>437</v>
      </c>
      <c r="E65" t="s">
        <v>437</v>
      </c>
      <c r="F65" t="b">
        <f t="shared" si="0"/>
        <v>1</v>
      </c>
      <c r="G65" t="s">
        <v>438</v>
      </c>
      <c r="H65" t="s">
        <v>546</v>
      </c>
      <c r="I65" t="s">
        <v>317</v>
      </c>
      <c r="J65" t="e">
        <f>_xlfn.XLOOKUP($A65,#REF!,#REF!,NA(),0,1)</f>
        <v>#REF!</v>
      </c>
    </row>
    <row r="66" spans="1:10">
      <c r="A66" t="s">
        <v>166</v>
      </c>
      <c r="B66" t="s">
        <v>167</v>
      </c>
      <c r="C66">
        <v>3</v>
      </c>
      <c r="D66" t="s">
        <v>439</v>
      </c>
      <c r="E66" t="s">
        <v>439</v>
      </c>
      <c r="F66" t="b">
        <f t="shared" si="0"/>
        <v>1</v>
      </c>
      <c r="G66" t="s">
        <v>440</v>
      </c>
      <c r="H66" t="s">
        <v>589</v>
      </c>
      <c r="I66" t="s">
        <v>317</v>
      </c>
      <c r="J66" t="e">
        <f>_xlfn.XLOOKUP($A66,#REF!,#REF!,NA(),0,1)</f>
        <v>#REF!</v>
      </c>
    </row>
    <row r="67" spans="1:10">
      <c r="A67" t="s">
        <v>168</v>
      </c>
      <c r="B67" t="s">
        <v>169</v>
      </c>
      <c r="C67">
        <v>3</v>
      </c>
      <c r="D67" t="s">
        <v>441</v>
      </c>
      <c r="E67" t="s">
        <v>441</v>
      </c>
      <c r="F67" t="b">
        <f t="shared" ref="F67:F98" si="1">EXACT(D67,E67)</f>
        <v>1</v>
      </c>
      <c r="G67" t="s">
        <v>442</v>
      </c>
      <c r="H67" t="s">
        <v>590</v>
      </c>
      <c r="I67" t="s">
        <v>317</v>
      </c>
      <c r="J67" t="e">
        <f>_xlfn.XLOOKUP($A67,#REF!,#REF!,NA(),0,1)</f>
        <v>#REF!</v>
      </c>
    </row>
    <row r="68" spans="1:10">
      <c r="A68" t="s">
        <v>79</v>
      </c>
      <c r="B68" t="s">
        <v>80</v>
      </c>
      <c r="C68">
        <v>3</v>
      </c>
      <c r="D68" t="s">
        <v>437</v>
      </c>
      <c r="E68" t="s">
        <v>437</v>
      </c>
      <c r="F68" t="b">
        <f t="shared" si="1"/>
        <v>1</v>
      </c>
      <c r="G68" t="s">
        <v>443</v>
      </c>
      <c r="H68" t="s">
        <v>547</v>
      </c>
      <c r="I68" t="s">
        <v>317</v>
      </c>
      <c r="J68" t="e">
        <f>_xlfn.XLOOKUP($A68,#REF!,#REF!,NA(),0,1)</f>
        <v>#REF!</v>
      </c>
    </row>
    <row r="69" spans="1:10">
      <c r="A69" t="s">
        <v>81</v>
      </c>
      <c r="B69" t="s">
        <v>82</v>
      </c>
      <c r="C69">
        <v>3</v>
      </c>
      <c r="D69" t="s">
        <v>444</v>
      </c>
      <c r="E69" t="s">
        <v>444</v>
      </c>
      <c r="F69" t="b">
        <f t="shared" si="1"/>
        <v>1</v>
      </c>
      <c r="G69" t="s">
        <v>445</v>
      </c>
      <c r="H69" t="s">
        <v>548</v>
      </c>
      <c r="I69" t="s">
        <v>317</v>
      </c>
      <c r="J69" t="e">
        <f>_xlfn.XLOOKUP($A69,#REF!,#REF!,NA(),0,1)</f>
        <v>#REF!</v>
      </c>
    </row>
    <row r="70" spans="1:10">
      <c r="A70" t="s">
        <v>124</v>
      </c>
      <c r="B70" t="s">
        <v>125</v>
      </c>
      <c r="C70">
        <v>3</v>
      </c>
      <c r="D70" t="s">
        <v>446</v>
      </c>
      <c r="E70" t="s">
        <v>446</v>
      </c>
      <c r="F70" t="b">
        <f t="shared" si="1"/>
        <v>1</v>
      </c>
      <c r="G70" t="s">
        <v>447</v>
      </c>
      <c r="H70" t="s">
        <v>569</v>
      </c>
      <c r="I70" t="s">
        <v>317</v>
      </c>
      <c r="J70" t="e">
        <f>_xlfn.XLOOKUP($A70,#REF!,#REF!,NA(),0,1)</f>
        <v>#REF!</v>
      </c>
    </row>
    <row r="71" spans="1:10">
      <c r="A71" t="s">
        <v>126</v>
      </c>
      <c r="B71" t="s">
        <v>127</v>
      </c>
      <c r="C71">
        <v>3</v>
      </c>
      <c r="D71" t="s">
        <v>448</v>
      </c>
      <c r="E71" t="s">
        <v>448</v>
      </c>
      <c r="F71" t="b">
        <f t="shared" si="1"/>
        <v>1</v>
      </c>
      <c r="G71" t="s">
        <v>449</v>
      </c>
      <c r="H71" t="s">
        <v>570</v>
      </c>
      <c r="I71" t="s">
        <v>317</v>
      </c>
      <c r="J71" t="e">
        <f>_xlfn.XLOOKUP($A71,#REF!,#REF!,NA(),0,1)</f>
        <v>#REF!</v>
      </c>
    </row>
    <row r="72" spans="1:10">
      <c r="A72" t="s">
        <v>128</v>
      </c>
      <c r="B72" t="s">
        <v>129</v>
      </c>
      <c r="C72">
        <v>3</v>
      </c>
      <c r="D72" t="s">
        <v>48</v>
      </c>
      <c r="E72" t="s">
        <v>48</v>
      </c>
      <c r="F72" t="b">
        <f t="shared" si="1"/>
        <v>1</v>
      </c>
      <c r="G72" t="s">
        <v>450</v>
      </c>
      <c r="H72" t="s">
        <v>571</v>
      </c>
      <c r="I72" t="s">
        <v>317</v>
      </c>
      <c r="J72" t="e">
        <f>_xlfn.XLOOKUP($A72,#REF!,#REF!,NA(),0,1)</f>
        <v>#REF!</v>
      </c>
    </row>
    <row r="73" spans="1:10">
      <c r="A73" t="s">
        <v>136</v>
      </c>
      <c r="B73" t="s">
        <v>137</v>
      </c>
      <c r="C73">
        <v>3</v>
      </c>
      <c r="D73" t="s">
        <v>451</v>
      </c>
      <c r="E73" t="s">
        <v>451</v>
      </c>
      <c r="F73" t="b">
        <f t="shared" si="1"/>
        <v>1</v>
      </c>
      <c r="G73" t="s">
        <v>452</v>
      </c>
      <c r="H73" t="s">
        <v>575</v>
      </c>
      <c r="I73" t="s">
        <v>317</v>
      </c>
      <c r="J73" t="e">
        <f>_xlfn.XLOOKUP($A73,#REF!,#REF!,NA(),0,1)</f>
        <v>#REF!</v>
      </c>
    </row>
    <row r="74" spans="1:10">
      <c r="A74" t="s">
        <v>83</v>
      </c>
      <c r="B74" t="s">
        <v>84</v>
      </c>
      <c r="C74">
        <v>3</v>
      </c>
      <c r="D74" t="s">
        <v>415</v>
      </c>
      <c r="E74" t="s">
        <v>415</v>
      </c>
      <c r="F74" t="b">
        <f t="shared" si="1"/>
        <v>1</v>
      </c>
      <c r="G74" t="s">
        <v>453</v>
      </c>
      <c r="H74" t="s">
        <v>549</v>
      </c>
      <c r="I74" t="s">
        <v>317</v>
      </c>
      <c r="J74" t="e">
        <f>_xlfn.XLOOKUP($A74,#REF!,#REF!,NA(),0,1)</f>
        <v>#REF!</v>
      </c>
    </row>
    <row r="75" spans="1:10">
      <c r="A75" t="s">
        <v>170</v>
      </c>
      <c r="B75" t="s">
        <v>171</v>
      </c>
      <c r="C75">
        <v>3</v>
      </c>
      <c r="D75" t="s">
        <v>454</v>
      </c>
      <c r="E75" t="s">
        <v>454</v>
      </c>
      <c r="F75" t="b">
        <f t="shared" si="1"/>
        <v>1</v>
      </c>
      <c r="G75" t="s">
        <v>455</v>
      </c>
      <c r="H75" t="s">
        <v>591</v>
      </c>
      <c r="I75" t="s">
        <v>317</v>
      </c>
      <c r="J75" t="e">
        <f>_xlfn.XLOOKUP($A75,#REF!,#REF!,NA(),0,1)</f>
        <v>#REF!</v>
      </c>
    </row>
    <row r="76" spans="1:10">
      <c r="A76" t="s">
        <v>16</v>
      </c>
      <c r="B76" t="s">
        <v>3</v>
      </c>
      <c r="C76">
        <v>3</v>
      </c>
      <c r="D76" t="s">
        <v>491</v>
      </c>
      <c r="E76" t="s">
        <v>603</v>
      </c>
      <c r="F76" t="b">
        <f t="shared" si="1"/>
        <v>0</v>
      </c>
      <c r="G76" t="s">
        <v>456</v>
      </c>
      <c r="H76" t="s">
        <v>510</v>
      </c>
      <c r="I76" t="s">
        <v>316</v>
      </c>
      <c r="J76" t="e">
        <f>_xlfn.XLOOKUP($A76,#REF!,#REF!,NA(),0,1)</f>
        <v>#REF!</v>
      </c>
    </row>
    <row r="77" spans="1:10">
      <c r="A77" t="s">
        <v>138</v>
      </c>
      <c r="B77" t="s">
        <v>139</v>
      </c>
      <c r="C77">
        <v>3</v>
      </c>
      <c r="D77" t="s">
        <v>457</v>
      </c>
      <c r="E77" t="s">
        <v>457</v>
      </c>
      <c r="F77" t="b">
        <f t="shared" si="1"/>
        <v>1</v>
      </c>
      <c r="G77" t="s">
        <v>458</v>
      </c>
      <c r="H77" t="s">
        <v>576</v>
      </c>
      <c r="I77" t="s">
        <v>317</v>
      </c>
      <c r="J77" t="e">
        <f>_xlfn.XLOOKUP($A77,#REF!,#REF!,NA(),0,1)</f>
        <v>#REF!</v>
      </c>
    </row>
    <row r="78" spans="1:10">
      <c r="A78" t="s">
        <v>140</v>
      </c>
      <c r="B78" t="s">
        <v>141</v>
      </c>
      <c r="C78">
        <v>3</v>
      </c>
      <c r="D78" t="s">
        <v>16</v>
      </c>
      <c r="E78" t="s">
        <v>16</v>
      </c>
      <c r="F78" t="b">
        <f t="shared" si="1"/>
        <v>1</v>
      </c>
      <c r="G78" t="s">
        <v>459</v>
      </c>
      <c r="H78" t="s">
        <v>577</v>
      </c>
      <c r="I78" t="s">
        <v>317</v>
      </c>
      <c r="J78" t="e">
        <f>_xlfn.XLOOKUP($A78,#REF!,#REF!,NA(),0,1)</f>
        <v>#REF!</v>
      </c>
    </row>
    <row r="79" spans="1:10">
      <c r="A79" t="s">
        <v>142</v>
      </c>
      <c r="B79" t="s">
        <v>143</v>
      </c>
      <c r="C79">
        <v>3</v>
      </c>
      <c r="D79" t="s">
        <v>16</v>
      </c>
      <c r="E79" t="s">
        <v>16</v>
      </c>
      <c r="F79" t="b">
        <f t="shared" si="1"/>
        <v>1</v>
      </c>
      <c r="G79" t="s">
        <v>460</v>
      </c>
      <c r="H79" t="s">
        <v>578</v>
      </c>
      <c r="I79" t="s">
        <v>317</v>
      </c>
      <c r="J79" t="e">
        <f>_xlfn.XLOOKUP($A79,#REF!,#REF!,NA(),0,1)</f>
        <v>#REF!</v>
      </c>
    </row>
    <row r="80" spans="1:10">
      <c r="A80" t="s">
        <v>12</v>
      </c>
      <c r="B80" t="s">
        <v>107</v>
      </c>
      <c r="C80">
        <v>3</v>
      </c>
      <c r="D80" t="s">
        <v>16</v>
      </c>
      <c r="E80" t="s">
        <v>16</v>
      </c>
      <c r="F80" t="b">
        <f t="shared" si="1"/>
        <v>1</v>
      </c>
      <c r="G80" t="s">
        <v>461</v>
      </c>
      <c r="H80" t="s">
        <v>561</v>
      </c>
      <c r="I80" t="s">
        <v>317</v>
      </c>
      <c r="J80" t="e">
        <f>_xlfn.XLOOKUP($A80,#REF!,#REF!,NA(),0,1)</f>
        <v>#REF!</v>
      </c>
    </row>
    <row r="81" spans="1:10">
      <c r="A81" t="s">
        <v>71</v>
      </c>
      <c r="B81" t="s">
        <v>72</v>
      </c>
      <c r="C81">
        <v>1</v>
      </c>
      <c r="D81" t="s">
        <v>302</v>
      </c>
      <c r="E81" t="s">
        <v>302</v>
      </c>
      <c r="F81" t="b">
        <f t="shared" si="1"/>
        <v>1</v>
      </c>
      <c r="G81" t="s">
        <v>462</v>
      </c>
      <c r="H81" t="s">
        <v>542</v>
      </c>
      <c r="I81" t="s">
        <v>316</v>
      </c>
      <c r="J81" t="e">
        <f>_xlfn.XLOOKUP($A81,#REF!,#REF!,NA(),0,1)</f>
        <v>#REF!</v>
      </c>
    </row>
    <row r="82" spans="1:10">
      <c r="A82" t="s">
        <v>120</v>
      </c>
      <c r="B82" t="s">
        <v>121</v>
      </c>
      <c r="C82">
        <v>3</v>
      </c>
      <c r="D82" t="s">
        <v>463</v>
      </c>
      <c r="E82" t="s">
        <v>463</v>
      </c>
      <c r="F82" t="b">
        <f t="shared" si="1"/>
        <v>1</v>
      </c>
      <c r="G82" t="s">
        <v>464</v>
      </c>
      <c r="H82" t="s">
        <v>567</v>
      </c>
      <c r="I82" t="s">
        <v>317</v>
      </c>
      <c r="J82" t="e">
        <f>_xlfn.XLOOKUP($A82,#REF!,#REF!,NA(),0,1)</f>
        <v>#REF!</v>
      </c>
    </row>
    <row r="83" spans="1:10">
      <c r="A83" t="s">
        <v>122</v>
      </c>
      <c r="B83" t="s">
        <v>123</v>
      </c>
      <c r="C83">
        <v>3</v>
      </c>
      <c r="D83" t="s">
        <v>465</v>
      </c>
      <c r="E83" t="s">
        <v>465</v>
      </c>
      <c r="F83" t="b">
        <f t="shared" si="1"/>
        <v>1</v>
      </c>
      <c r="G83" t="s">
        <v>466</v>
      </c>
      <c r="H83" t="s">
        <v>568</v>
      </c>
      <c r="I83" t="s">
        <v>317</v>
      </c>
      <c r="J83" t="e">
        <f>_xlfn.XLOOKUP($A83,#REF!,#REF!,NA(),0,1)</f>
        <v>#REF!</v>
      </c>
    </row>
    <row r="84" spans="1:10">
      <c r="A84" t="s">
        <v>74</v>
      </c>
      <c r="B84" t="s">
        <v>75</v>
      </c>
      <c r="C84">
        <v>3</v>
      </c>
      <c r="D84" t="s">
        <v>492</v>
      </c>
      <c r="E84" t="s">
        <v>500</v>
      </c>
      <c r="F84" t="b">
        <f t="shared" si="1"/>
        <v>0</v>
      </c>
      <c r="G84" t="s">
        <v>467</v>
      </c>
      <c r="H84" t="s">
        <v>545</v>
      </c>
      <c r="I84" t="s">
        <v>316</v>
      </c>
      <c r="J84" t="e">
        <f>_xlfn.XLOOKUP($A84,#REF!,#REF!,NA(),0,1)</f>
        <v>#REF!</v>
      </c>
    </row>
    <row r="85" spans="1:10">
      <c r="A85" t="s">
        <v>134</v>
      </c>
      <c r="B85" t="s">
        <v>135</v>
      </c>
      <c r="C85">
        <v>3</v>
      </c>
      <c r="D85" t="s">
        <v>468</v>
      </c>
      <c r="E85" t="s">
        <v>468</v>
      </c>
      <c r="F85" t="b">
        <f t="shared" si="1"/>
        <v>1</v>
      </c>
      <c r="G85" t="s">
        <v>469</v>
      </c>
      <c r="H85" t="s">
        <v>574</v>
      </c>
      <c r="I85" t="s">
        <v>317</v>
      </c>
      <c r="J85" t="e">
        <f>_xlfn.XLOOKUP($A85,#REF!,#REF!,NA(),0,1)</f>
        <v>#REF!</v>
      </c>
    </row>
    <row r="86" spans="1:10">
      <c r="A86" t="s">
        <v>504</v>
      </c>
      <c r="B86" t="s">
        <v>505</v>
      </c>
      <c r="C86">
        <v>3</v>
      </c>
      <c r="G86" t="s">
        <v>604</v>
      </c>
      <c r="H86" t="s">
        <v>611</v>
      </c>
    </row>
    <row r="87" spans="1:10">
      <c r="A87" t="s">
        <v>500</v>
      </c>
      <c r="B87" t="s">
        <v>501</v>
      </c>
      <c r="C87">
        <v>4</v>
      </c>
      <c r="G87" t="s">
        <v>605</v>
      </c>
      <c r="H87" t="s">
        <v>612</v>
      </c>
    </row>
    <row r="88" spans="1:10">
      <c r="A88" t="s">
        <v>502</v>
      </c>
      <c r="B88" t="s">
        <v>503</v>
      </c>
      <c r="C88">
        <v>4</v>
      </c>
      <c r="G88" t="s">
        <v>606</v>
      </c>
      <c r="H88" t="s">
        <v>613</v>
      </c>
    </row>
    <row r="89" spans="1:10">
      <c r="A89" t="s">
        <v>17</v>
      </c>
      <c r="B89" t="s">
        <v>4</v>
      </c>
      <c r="C89">
        <v>3</v>
      </c>
      <c r="D89" t="s">
        <v>493</v>
      </c>
      <c r="E89" t="s">
        <v>607</v>
      </c>
      <c r="F89" t="b">
        <f t="shared" si="1"/>
        <v>0</v>
      </c>
      <c r="G89" t="s">
        <v>470</v>
      </c>
      <c r="H89" t="s">
        <v>511</v>
      </c>
      <c r="I89" t="s">
        <v>325</v>
      </c>
      <c r="J89" t="e">
        <f>_xlfn.XLOOKUP($A89,#REF!,#REF!,NA(),0,1)</f>
        <v>#REF!</v>
      </c>
    </row>
    <row r="90" spans="1:10">
      <c r="A90" t="s">
        <v>20</v>
      </c>
      <c r="B90" t="s">
        <v>7</v>
      </c>
      <c r="C90">
        <v>3</v>
      </c>
      <c r="D90" t="s">
        <v>471</v>
      </c>
      <c r="E90" t="s">
        <v>471</v>
      </c>
      <c r="F90" t="b">
        <f t="shared" si="1"/>
        <v>1</v>
      </c>
      <c r="G90" t="s">
        <v>472</v>
      </c>
      <c r="H90" t="s">
        <v>514</v>
      </c>
      <c r="I90" t="s">
        <v>325</v>
      </c>
      <c r="J90" t="e">
        <f>_xlfn.XLOOKUP($A90,#REF!,#REF!,NA(),0,1)</f>
        <v>#REF!</v>
      </c>
    </row>
    <row r="91" spans="1:10">
      <c r="A91" t="s">
        <v>21</v>
      </c>
      <c r="B91" t="s">
        <v>8</v>
      </c>
      <c r="C91">
        <v>3</v>
      </c>
      <c r="D91" t="s">
        <v>473</v>
      </c>
      <c r="E91" t="s">
        <v>473</v>
      </c>
      <c r="F91" t="b">
        <f t="shared" si="1"/>
        <v>1</v>
      </c>
      <c r="G91" t="s">
        <v>474</v>
      </c>
      <c r="H91" t="s">
        <v>515</v>
      </c>
      <c r="I91" t="s">
        <v>325</v>
      </c>
      <c r="J91" t="e">
        <f>_xlfn.XLOOKUP($A91,#REF!,#REF!,NA(),0,1)</f>
        <v>#REF!</v>
      </c>
    </row>
    <row r="92" spans="1:10">
      <c r="A92" t="s">
        <v>158</v>
      </c>
      <c r="B92" t="s">
        <v>159</v>
      </c>
      <c r="C92">
        <v>3</v>
      </c>
      <c r="D92" t="s">
        <v>475</v>
      </c>
      <c r="E92" t="s">
        <v>475</v>
      </c>
      <c r="F92" t="b">
        <f t="shared" si="1"/>
        <v>1</v>
      </c>
      <c r="G92" t="s">
        <v>476</v>
      </c>
      <c r="H92" t="s">
        <v>585</v>
      </c>
      <c r="I92" t="s">
        <v>317</v>
      </c>
      <c r="J92" t="e">
        <f>_xlfn.XLOOKUP($A92,#REF!,#REF!,NA(),0,1)</f>
        <v>#REF!</v>
      </c>
    </row>
    <row r="93" spans="1:10">
      <c r="A93" t="s">
        <v>59</v>
      </c>
      <c r="B93" t="s">
        <v>60</v>
      </c>
      <c r="C93">
        <v>3</v>
      </c>
      <c r="D93" t="s">
        <v>489</v>
      </c>
      <c r="E93" t="s">
        <v>489</v>
      </c>
      <c r="F93" t="b">
        <f t="shared" si="1"/>
        <v>1</v>
      </c>
      <c r="G93" t="s">
        <v>477</v>
      </c>
      <c r="H93" t="s">
        <v>536</v>
      </c>
      <c r="I93" t="s">
        <v>321</v>
      </c>
      <c r="J93" t="e">
        <f>_xlfn.XLOOKUP($A93,#REF!,#REF!,NA(),0,1)</f>
        <v>#REF!</v>
      </c>
    </row>
    <row r="94" spans="1:10">
      <c r="A94" t="s">
        <v>63</v>
      </c>
      <c r="B94" t="s">
        <v>64</v>
      </c>
      <c r="C94">
        <v>3</v>
      </c>
      <c r="D94" t="s">
        <v>494</v>
      </c>
      <c r="E94" t="s">
        <v>494</v>
      </c>
      <c r="F94" t="b">
        <f t="shared" si="1"/>
        <v>1</v>
      </c>
      <c r="G94" t="s">
        <v>478</v>
      </c>
      <c r="H94" t="s">
        <v>538</v>
      </c>
      <c r="I94" t="s">
        <v>321</v>
      </c>
      <c r="J94" t="e">
        <f>_xlfn.XLOOKUP($A94,#REF!,#REF!,NA(),0,1)</f>
        <v>#REF!</v>
      </c>
    </row>
    <row r="95" spans="1:10">
      <c r="A95" t="s">
        <v>608</v>
      </c>
      <c r="B95" t="s">
        <v>615</v>
      </c>
      <c r="C95">
        <v>4</v>
      </c>
    </row>
    <row r="96" spans="1:10">
      <c r="A96" t="s">
        <v>616</v>
      </c>
      <c r="B96" t="s">
        <v>507</v>
      </c>
      <c r="C96">
        <v>3</v>
      </c>
    </row>
    <row r="97" spans="1:10">
      <c r="A97" t="s">
        <v>85</v>
      </c>
      <c r="B97" t="s">
        <v>86</v>
      </c>
      <c r="C97">
        <v>3</v>
      </c>
      <c r="D97" t="s">
        <v>495</v>
      </c>
      <c r="E97" t="s">
        <v>609</v>
      </c>
      <c r="F97" t="b">
        <f t="shared" si="1"/>
        <v>0</v>
      </c>
      <c r="G97" t="s">
        <v>479</v>
      </c>
      <c r="H97" t="s">
        <v>550</v>
      </c>
      <c r="I97" t="s">
        <v>317</v>
      </c>
      <c r="J97" t="e">
        <f>_xlfn.XLOOKUP($A97,#REF!,#REF!,NA(),0,1)</f>
        <v>#REF!</v>
      </c>
    </row>
    <row r="98" spans="1:10">
      <c r="A98" t="s">
        <v>46</v>
      </c>
      <c r="B98" t="s">
        <v>47</v>
      </c>
      <c r="C98">
        <v>3</v>
      </c>
      <c r="D98" t="s">
        <v>496</v>
      </c>
      <c r="E98" t="s">
        <v>610</v>
      </c>
      <c r="F98" t="b">
        <f t="shared" si="1"/>
        <v>0</v>
      </c>
      <c r="G98" t="s">
        <v>480</v>
      </c>
      <c r="H98" t="s">
        <v>529</v>
      </c>
      <c r="I98" t="s">
        <v>325</v>
      </c>
      <c r="J98" t="e">
        <f>_xlfn.XLOOKUP($A98,#REF!,#REF!,NA(),0,1)</f>
        <v>#REF!</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0F6A5-A620-4856-9623-118AC3054AA7}">
  <sheetPr codeName="Feuil4"/>
  <dimension ref="A1:H29"/>
  <sheetViews>
    <sheetView workbookViewId="0">
      <selection activeCell="A28" sqref="A28"/>
    </sheetView>
  </sheetViews>
  <sheetFormatPr baseColWidth="10" defaultRowHeight="15"/>
  <sheetData>
    <row r="1" spans="1:3">
      <c r="A1" t="s">
        <v>303</v>
      </c>
    </row>
    <row r="2" spans="1:3">
      <c r="A2" t="s">
        <v>307</v>
      </c>
    </row>
    <row r="3" spans="1:3">
      <c r="A3" t="s">
        <v>304</v>
      </c>
      <c r="B3" s="2"/>
    </row>
    <row r="4" spans="1:3">
      <c r="A4" t="s">
        <v>305</v>
      </c>
      <c r="B4" s="3"/>
    </row>
    <row r="6" spans="1:3">
      <c r="A6" t="s">
        <v>306</v>
      </c>
    </row>
    <row r="7" spans="1:3">
      <c r="A7" t="s">
        <v>308</v>
      </c>
      <c r="B7" s="4"/>
      <c r="C7" t="s">
        <v>332</v>
      </c>
    </row>
    <row r="8" spans="1:3">
      <c r="A8" t="s">
        <v>309</v>
      </c>
      <c r="B8" s="5"/>
    </row>
    <row r="10" spans="1:3">
      <c r="A10" t="s">
        <v>310</v>
      </c>
    </row>
    <row r="11" spans="1:3">
      <c r="A11" t="s">
        <v>311</v>
      </c>
      <c r="B11" s="6"/>
    </row>
    <row r="12" spans="1:3">
      <c r="A12" t="s">
        <v>312</v>
      </c>
      <c r="B12" s="7"/>
      <c r="C12" t="s">
        <v>336</v>
      </c>
    </row>
    <row r="13" spans="1:3">
      <c r="A13" t="s">
        <v>313</v>
      </c>
      <c r="B13" s="8"/>
      <c r="C13" t="s">
        <v>333</v>
      </c>
    </row>
    <row r="14" spans="1:3">
      <c r="A14" t="s">
        <v>314</v>
      </c>
      <c r="B14" s="9"/>
    </row>
    <row r="16" spans="1:3">
      <c r="A16" t="s">
        <v>315</v>
      </c>
    </row>
    <row r="17" spans="1:8">
      <c r="A17" t="s">
        <v>316</v>
      </c>
      <c r="B17" s="13"/>
      <c r="C17" t="s">
        <v>334</v>
      </c>
      <c r="G17" s="10"/>
      <c r="H17" s="10"/>
    </row>
    <row r="18" spans="1:8">
      <c r="A18" t="s">
        <v>317</v>
      </c>
      <c r="B18" s="14"/>
      <c r="C18" t="s">
        <v>331</v>
      </c>
      <c r="G18" s="12"/>
      <c r="H18" s="11"/>
    </row>
    <row r="19" spans="1:8">
      <c r="A19" t="s">
        <v>318</v>
      </c>
      <c r="B19" s="15"/>
      <c r="G19" s="12"/>
      <c r="H19" s="11"/>
    </row>
    <row r="20" spans="1:8">
      <c r="A20" t="s">
        <v>319</v>
      </c>
      <c r="B20" s="7"/>
      <c r="G20" s="12"/>
      <c r="H20" s="11"/>
    </row>
    <row r="21" spans="1:8">
      <c r="A21" t="s">
        <v>320</v>
      </c>
      <c r="B21" s="16"/>
      <c r="C21" t="s">
        <v>329</v>
      </c>
      <c r="G21" s="12"/>
      <c r="H21" s="11"/>
    </row>
    <row r="22" spans="1:8">
      <c r="A22" t="s">
        <v>321</v>
      </c>
      <c r="B22" s="3"/>
      <c r="C22" t="s">
        <v>335</v>
      </c>
      <c r="G22" s="12"/>
      <c r="H22" s="11"/>
    </row>
    <row r="23" spans="1:8">
      <c r="A23" t="s">
        <v>322</v>
      </c>
      <c r="B23" s="6"/>
      <c r="G23" s="12"/>
      <c r="H23" s="11"/>
    </row>
    <row r="24" spans="1:8">
      <c r="A24" t="s">
        <v>323</v>
      </c>
      <c r="B24" s="17"/>
      <c r="G24" s="12"/>
      <c r="H24" s="11"/>
    </row>
    <row r="25" spans="1:8">
      <c r="A25" t="s">
        <v>324</v>
      </c>
      <c r="B25" s="2"/>
      <c r="C25" t="s">
        <v>328</v>
      </c>
      <c r="G25" s="12"/>
      <c r="H25" s="11"/>
    </row>
    <row r="26" spans="1:8">
      <c r="A26" t="s">
        <v>325</v>
      </c>
      <c r="B26" s="18"/>
      <c r="C26" t="s">
        <v>330</v>
      </c>
      <c r="G26" s="12"/>
      <c r="H26" s="11"/>
    </row>
    <row r="27" spans="1:8">
      <c r="A27" t="s">
        <v>326</v>
      </c>
      <c r="B27" s="8"/>
      <c r="G27" s="12"/>
      <c r="H27" s="11"/>
    </row>
    <row r="28" spans="1:8">
      <c r="A28" t="s">
        <v>327</v>
      </c>
      <c r="B28" s="19"/>
      <c r="C28" t="s">
        <v>614</v>
      </c>
      <c r="G28" s="12"/>
      <c r="H28" s="11"/>
    </row>
    <row r="29" spans="1:8">
      <c r="G29" s="12"/>
      <c r="H29" s="11"/>
    </row>
  </sheetData>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37B1576-03BA-4773-8541-669A88EAEE8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gabarit</vt:lpstr>
      <vt:lpstr>b-gmc-a26</vt:lpstr>
      <vt:lpstr>b-gmc-a25</vt:lpstr>
      <vt:lpstr>b-gmc-a24</vt:lpstr>
      <vt:lpstr>b-gmc-a23</vt:lpstr>
      <vt:lpstr>cours-a26</vt:lpstr>
      <vt:lpstr>couleurs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Philippe</dc:creator>
  <cp:lastModifiedBy>Philippe Cardou</cp:lastModifiedBy>
  <dcterms:created xsi:type="dcterms:W3CDTF">2026-06-06T00:24:52Z</dcterms:created>
  <dcterms:modified xsi:type="dcterms:W3CDTF">2026-06-15T20:19:09Z</dcterms:modified>
</cp:coreProperties>
</file>